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9e2a22dd47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لوحة المتابعة" sheetId="1" r:id="R05aba7890d2e4eea"/>
    <x:sheet xmlns:r="http://schemas.openxmlformats.org/officeDocument/2006/relationships" name="الفرص" sheetId="2" r:id="Ra3461fbea8034782"/>
    <x:sheet xmlns:r="http://schemas.openxmlformats.org/officeDocument/2006/relationships" name="دليل الاستخدام" sheetId="3" r:id="Rcce0863cd7c946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18"/>
      <x:color rgb="FFFFF8F2"/>
      <x:name val="Carlito"/>
    </x:font>
    <x:font>
      <x:sz val="10"/>
      <x:color rgb="FFDDD2E2"/>
      <x:name val="Carlito"/>
    </x:font>
    <x:font>
      <x:b/>
      <x:sz val="10"/>
      <x:color rgb="FFFFFFFF"/>
      <x:name val="Carlito"/>
    </x:font>
    <x:font>
      <x:sz val="9"/>
      <x:color rgb="FF251E29"/>
      <x:name val="Carlito"/>
    </x:font>
    <x:font>
      <x:b/>
      <x:sz val="9"/>
      <x:color rgb="FF251E29"/>
      <x:name val="Carlito"/>
    </x:font>
    <x:font>
      <x:sz val="9"/>
      <x:color rgb="FF302537"/>
      <x:name val="Carlito"/>
    </x:font>
    <x:font>
      <x:b/>
      <x:sz val="20"/>
      <x:color rgb="FFFFF8F2"/>
      <x:name val="Carlito"/>
    </x:font>
    <x:font>
      <x:b/>
      <x:sz val="9"/>
      <x:color rgb="FF6C5B72"/>
      <x:name val="Carlito"/>
    </x:font>
    <x:font>
      <x:b/>
      <x:sz val="24"/>
      <x:color rgb="FF9215D7"/>
      <x:name val="Carlito"/>
    </x:font>
    <x:font>
      <x:b/>
      <x:sz val="11"/>
      <x:color rgb="FFFFFFFF"/>
      <x:name val="Carlito"/>
    </x:font>
    <x:font>
      <x:sz val="10"/>
      <x:color rgb="FF2C2231"/>
      <x:name val="Carlito"/>
    </x:font>
    <x:font>
      <x:sz val="9"/>
      <x:color rgb="FF2C2231"/>
      <x:name val="Carlito"/>
    </x:font>
    <x:font>
      <x:b/>
      <x:sz val="19"/>
      <x:color rgb="FFFFF8F2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11014"/>
      </x:patternFill>
    </x:fill>
    <x:fill>
      <x:patternFill patternType="solid">
        <x:fgColor rgb="FF2A202E"/>
      </x:patternFill>
    </x:fill>
    <x:fill>
      <x:patternFill patternType="solid">
        <x:fgColor rgb="FF9215D7"/>
      </x:patternFill>
    </x:fill>
    <x:fill>
      <x:patternFill patternType="solid">
        <x:fgColor rgb="FFFFFFFF"/>
      </x:patternFill>
    </x:fill>
    <x:fill>
      <x:patternFill patternType="solid">
        <x:fgColor rgb="FFFFF9E8"/>
      </x:patternFill>
    </x:fill>
    <x:fill>
      <x:patternFill patternType="solid">
        <x:fgColor rgb="FFF7F1F8"/>
      </x:patternFill>
    </x:fill>
    <x:fill>
      <x:patternFill patternType="solid">
        <x:fgColor rgb="FFFF6818"/>
      </x:patternFill>
    </x:fill>
  </x:fills>
  <x:borders count="14">
    <x:border/>
    <x:border>
      <x:left style="thin">
        <x:color rgb="FF9215D7"/>
      </x:left>
      <x:top style="thin">
        <x:color rgb="FF9215D7"/>
      </x:top>
      <x:bottom style="thin">
        <x:color rgb="FF9215D7"/>
      </x:bottom>
    </x:border>
    <x:border>
      <x:top style="thin">
        <x:color rgb="FF9215D7"/>
      </x:top>
      <x:bottom style="thin">
        <x:color rgb="FF9215D7"/>
      </x:bottom>
    </x:border>
    <x:border>
      <x:right style="thin">
        <x:color rgb="FF9215D7"/>
      </x:right>
      <x:top style="thin">
        <x:color rgb="FF9215D7"/>
      </x:top>
      <x:bottom style="thin">
        <x:color rgb="FF9215D7"/>
      </x:bottom>
    </x:border>
    <x:border>
      <x:bottom style="thin">
        <x:color rgb="FFECE5EE"/>
      </x:bottom>
    </x:border>
    <x:border>
      <x:top style="thin">
        <x:color rgb="FFECE5EE"/>
      </x:top>
      <x:bottom style="thin">
        <x:color rgb="FFECE5EE"/>
      </x:bottom>
    </x:border>
    <x:border>
      <x:top style="thin">
        <x:color rgb="FFECE5EE"/>
      </x:top>
    </x:border>
    <x:border>
      <x:left style="thin">
        <x:color rgb="FFE9DFEB"/>
      </x:left>
      <x:top style="thin">
        <x:color rgb="FFE9DFEB"/>
      </x:top>
    </x:border>
    <x:border>
      <x:top style="thin">
        <x:color rgb="FFE9DFEB"/>
      </x:top>
    </x:border>
    <x:border>
      <x:right style="thin">
        <x:color rgb="FFE9DFEB"/>
      </x:right>
      <x:top style="thin">
        <x:color rgb="FFE9DFEB"/>
      </x:top>
    </x:border>
    <x:border>
      <x:left style="thin">
        <x:color rgb="FFE9DFEB"/>
      </x:left>
      <x:bottom style="thin">
        <x:color rgb="FFE9DFEB"/>
      </x:bottom>
    </x:border>
    <x:border>
      <x:bottom style="thin">
        <x:color rgb="FFE9DFEB"/>
      </x:bottom>
    </x:border>
    <x:border>
      <x:right style="thin">
        <x:color rgb="FFE9DFEB"/>
      </x:right>
      <x:bottom style="thin">
        <x:color rgb="FFE9DFEB"/>
      </x:bottom>
    </x:border>
    <x:border>
      <x:top style="thin">
        <x:color rgb="FFE9DFEB"/>
      </x:top>
      <x:bottom style="thin">
        <x:color rgb="FFE9DFEB"/>
      </x:bottom>
    </x:border>
  </x:borders>
  <x:cellStyleXfs count="1">
    <x:xf numFmtId="0" fontId="0" fillId="0" borderId="0"/>
  </x:cellStyleXfs>
  <x:cellXfs count="1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4" fillId="6" borderId="6" xfId="0" applyNumberFormat="1" applyFont="1" applyFill="1" applyBorder="1" applyAlignment="1">
      <x:alignment vertical="center"/>
    </x:xf>
    <x:xf numFmtId="0" fontId="6" fillId="6" borderId="4" xfId="0" applyNumberFormat="1" applyFont="1" applyFill="1" applyBorder="1" applyAlignment="1">
      <x:alignment vertical="center"/>
    </x:xf>
    <x:xf numFmtId="0" fontId="6" fillId="6" borderId="5" xfId="0" applyNumberFormat="1" applyFont="1" applyFill="1" applyBorder="1" applyAlignment="1">
      <x:alignment vertical="center"/>
    </x:xf>
    <x:xf numFmtId="0" fontId="6" fillId="6" borderId="6" xfId="0" applyNumberFormat="1" applyFont="1" applyFill="1" applyBorder="1" applyAlignment="1">
      <x:alignment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horizontal="center" vertical="center" wrapText="1"/>
    </x:xf>
    <x:xf numFmtId="0" fontId="4" fillId="5" borderId="6" xfId="0" applyNumberFormat="1" applyFont="1" applyFill="1" applyBorder="1" applyAlignment="1">
      <x:alignment horizontal="center"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/>
    </x:xf>
    <x:xf numFmtId="0" fontId="9" fillId="5" borderId="0" xfId="0" applyNumberFormat="1" applyFont="1" applyFill="1" applyBorder="1"/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9" fillId="5" borderId="9" xfId="0" applyNumberFormat="1" applyFont="1" applyFill="1" applyBorder="1"/>
    <x:xf numFmtId="0" fontId="9" fillId="5" borderId="10" xfId="0" applyNumberFormat="1" applyFont="1" applyFill="1" applyBorder="1"/>
    <x:xf numFmtId="0" fontId="9" fillId="5" borderId="11" xfId="0" applyNumberFormat="1" applyFont="1" applyFill="1" applyBorder="1"/>
    <x:xf numFmtId="0" fontId="9" fillId="5" borderId="12" xfId="0" applyNumberFormat="1" applyFont="1" applyFill="1" applyBorder="1"/>
    <x:xf numFmtId="0" fontId="9" fillId="5" borderId="7" xfId="0" applyNumberFormat="1" applyFont="1" applyFill="1" applyBorder="1" applyAlignment="1">
      <x:alignment horizontal="center"/>
    </x:xf>
    <x:xf numFmtId="0" fontId="9" fillId="5" borderId="8" xfId="0" applyNumberFormat="1" applyFont="1" applyFill="1" applyBorder="1" applyAlignment="1">
      <x:alignment horizontal="center"/>
    </x:xf>
    <x:xf numFmtId="0" fontId="9" fillId="5" borderId="9" xfId="0" applyNumberFormat="1" applyFont="1" applyFill="1" applyBorder="1" applyAlignment="1">
      <x:alignment horizontal="center"/>
    </x:xf>
    <x:xf numFmtId="0" fontId="9" fillId="5" borderId="10" xfId="0" applyNumberFormat="1" applyFont="1" applyFill="1" applyBorder="1" applyAlignment="1">
      <x:alignment horizontal="center"/>
    </x:xf>
    <x:xf numFmtId="0" fontId="9" fillId="5" borderId="11" xfId="0" applyNumberFormat="1" applyFont="1" applyFill="1" applyBorder="1" applyAlignment="1">
      <x:alignment horizontal="center"/>
    </x:xf>
    <x:xf numFmtId="0" fontId="9" fillId="5" borderId="12" xfId="0" applyNumberFormat="1" applyFont="1" applyFill="1" applyBorder="1" applyAlignment="1">
      <x:alignment horizontal="center"/>
    </x:xf>
    <x:xf numFmtId="0" fontId="9" fillId="5" borderId="7" xfId="0" applyNumberFormat="1" applyFont="1" applyFill="1" applyBorder="1" applyAlignment="1">
      <x:alignment horizontal="center" vertical="center"/>
    </x:xf>
    <x:xf numFmtId="0" fontId="9" fillId="5" borderId="8" xfId="0" applyNumberFormat="1" applyFont="1" applyFill="1" applyBorder="1" applyAlignment="1">
      <x:alignment horizontal="center" vertical="center"/>
    </x:xf>
    <x:xf numFmtId="0" fontId="9" fillId="5" borderId="9" xfId="0" applyNumberFormat="1" applyFont="1" applyFill="1" applyBorder="1" applyAlignment="1">
      <x:alignment horizontal="center" vertical="center"/>
    </x:xf>
    <x:xf numFmtId="0" fontId="9" fillId="5" borderId="10" xfId="0" applyNumberFormat="1" applyFont="1" applyFill="1" applyBorder="1" applyAlignment="1">
      <x:alignment horizontal="center" vertical="center"/>
    </x:xf>
    <x:xf numFmtId="0" fontId="9" fillId="5" borderId="11" xfId="0" applyNumberFormat="1" applyFont="1" applyFill="1" applyBorder="1" applyAlignment="1">
      <x:alignment horizontal="center" vertical="center"/>
    </x:xf>
    <x:xf numFmtId="0" fontId="9" fillId="5" borderId="1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horizontal="center"/>
    </x:xf>
    <x:xf numFmtId="0" fontId="11" fillId="5" borderId="0" xfId="0" applyNumberFormat="1" applyFont="1" applyFill="1" applyBorder="1"/>
    <x:xf numFmtId="0" fontId="11" fillId="5" borderId="11" xfId="0" applyNumberFormat="1" applyFont="1" applyFill="1" applyBorder="1"/>
    <x:xf numFmtId="0" fontId="11" fillId="5" borderId="13" xfId="0" applyNumberFormat="1" applyFont="1" applyFill="1" applyBorder="1"/>
    <x:xf numFmtId="0" fontId="11" fillId="5" borderId="8" xfId="0" applyNumberFormat="1" applyFont="1" applyFill="1" applyBorder="1"/>
    <x:xf numFmtId="0" fontId="11" fillId="5" borderId="11" xfId="0" applyNumberFormat="1" applyFont="1" applyFill="1" applyBorder="1" applyAlignment="1">
      <x:alignment horizontal="center"/>
    </x:xf>
    <x:xf numFmtId="0" fontId="11" fillId="5" borderId="13" xfId="0" applyNumberFormat="1" applyFont="1" applyFill="1" applyBorder="1" applyAlignment="1">
      <x:alignment horizontal="center"/>
    </x:xf>
    <x:xf numFmtId="0" fontId="11" fillId="5" borderId="8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  <x:xf numFmtId="0" fontId="12" fillId="5" borderId="0" xfId="0" applyNumberFormat="1" applyFont="1" applyFill="1" applyBorder="1"/>
    <x:xf numFmtId="0" fontId="12" fillId="5" borderId="11" xfId="0" applyNumberFormat="1" applyFont="1" applyFill="1" applyBorder="1"/>
    <x:xf numFmtId="0" fontId="12" fillId="5" borderId="13" xfId="0" applyNumberFormat="1" applyFont="1" applyFill="1" applyBorder="1"/>
    <x:xf numFmtId="0" fontId="12" fillId="5" borderId="8" xfId="0" applyNumberFormat="1" applyFont="1" applyFill="1" applyBorder="1"/>
    <x:xf numFmtId="0" fontId="12" fillId="5" borderId="11" xfId="0" applyNumberFormat="1" applyFont="1" applyFill="1" applyBorder="1" applyAlignment="1">
      <x:alignment wrapText="1"/>
    </x:xf>
    <x:xf numFmtId="0" fontId="12" fillId="5" borderId="13" xfId="0" applyNumberFormat="1" applyFont="1" applyFill="1" applyBorder="1" applyAlignment="1">
      <x:alignment wrapText="1"/>
    </x:xf>
    <x:xf numFmtId="0" fontId="12" fillId="5" borderId="8" xfId="0" applyNumberFormat="1" applyFont="1" applyFill="1" applyBorder="1" applyAlignment="1">
      <x:alignment wrapText="1"/>
    </x:xf>
    <x:xf numFmtId="0" fontId="12" fillId="5" borderId="11" xfId="0" applyNumberFormat="1" applyFont="1" applyFill="1" applyBorder="1" applyAlignment="1">
      <x:alignment vertical="center" wrapText="1"/>
    </x:xf>
    <x:xf numFmtId="0" fontId="12" fillId="5" borderId="13" xfId="0" applyNumberFormat="1" applyFont="1" applyFill="1" applyBorder="1" applyAlignment="1">
      <x:alignment vertical="center" wrapText="1"/>
    </x:xf>
    <x:xf numFmtId="0" fontId="12" fillId="5" borderId="8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horizontal="center" wrapText="1"/>
    </x:xf>
    <x:xf numFmtId="0" fontId="9" fillId="5" borderId="7" xfId="0" applyNumberFormat="1" applyFont="1" applyFill="1" applyBorder="1" applyAlignment="1">
      <x:alignment horizontal="center" vertical="center" wrapText="1"/>
    </x:xf>
    <x:xf numFmtId="0" fontId="9" fillId="5" borderId="8" xfId="0" applyNumberFormat="1" applyFont="1" applyFill="1" applyBorder="1" applyAlignment="1">
      <x:alignment horizontal="center" vertical="center" wrapText="1"/>
    </x:xf>
    <x:xf numFmtId="0" fontId="9" fillId="5" borderId="9" xfId="0" applyNumberFormat="1" applyFont="1" applyFill="1" applyBorder="1" applyAlignment="1">
      <x:alignment horizontal="center" vertical="center" wrapText="1"/>
    </x:xf>
    <x:xf numFmtId="0" fontId="9" fillId="5" borderId="10" xfId="0" applyNumberFormat="1" applyFont="1" applyFill="1" applyBorder="1" applyAlignment="1">
      <x:alignment horizontal="center" vertical="center" wrapText="1"/>
    </x:xf>
    <x:xf numFmtId="0" fontId="9" fillId="5" borderId="11" xfId="0" applyNumberFormat="1" applyFont="1" applyFill="1" applyBorder="1" applyAlignment="1">
      <x:alignment horizontal="center" vertical="center" wrapText="1"/>
    </x:xf>
    <x:xf numFmtId="0" fontId="9" fillId="5" borderId="12" xfId="0" applyNumberFormat="1" applyFont="1" applyFill="1" applyBorder="1" applyAlignment="1">
      <x:alignment horizontal="center" vertical="center" wrapText="1"/>
    </x:xf>
    <x:xf numFmtId="0" fontId="10" fillId="4" borderId="0" xfId="0" applyNumberFormat="1" applyFont="1" applyFill="1" applyBorder="1" applyAlignment="1">
      <x:alignment horizontal="center" wrapText="1"/>
    </x:xf>
    <x:xf numFmtId="0" fontId="10" fillId="8" borderId="0" xfId="0" applyNumberFormat="1" applyFont="1" applyFill="1" applyBorder="1" applyAlignment="1">
      <x:alignment horizontal="center" wrapText="1"/>
    </x:xf>
    <x:xf numFmtId="0" fontId="11" fillId="5" borderId="11" xfId="0" applyNumberFormat="1" applyFont="1" applyFill="1" applyBorder="1" applyAlignment="1">
      <x:alignment horizontal="center" wrapText="1"/>
    </x:xf>
    <x:xf numFmtId="0" fontId="11" fillId="5" borderId="13" xfId="0" applyNumberFormat="1" applyFont="1" applyFill="1" applyBorder="1" applyAlignment="1">
      <x:alignment horizontal="center" wrapText="1"/>
    </x:xf>
    <x:xf numFmtId="0" fontId="11" fillId="5" borderId="8" xfId="0" applyNumberFormat="1" applyFont="1" applyFill="1" applyBorder="1" applyAlignment="1">
      <x:alignment horizontal="center" wrapText="1"/>
    </x:xf>
    <x:xf numFmtId="0" fontId="13" fillId="2" borderId="0" xfId="0" applyNumberFormat="1" applyFont="1" applyFill="1" applyBorder="1"/>
    <x:xf numFmtId="0" fontId="13" fillId="2" borderId="0" xfId="0" applyNumberFormat="1" applyFont="1" applyFill="1" applyBorder="1" applyAlignment="1">
      <x:alignment horizontal="center"/>
    </x:xf>
    <x:xf numFmtId="0" fontId="13" fillId="2" borderId="0" xfId="0" applyNumberFormat="1" applyFont="1" applyFill="1" applyBorder="1" applyAlignment="1">
      <x:alignment horizontal="center" vertical="center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1" fillId="5" borderId="8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vertical="center" wrapText="1"/>
    </x:xf>
    <x:xf numFmtId="0" fontId="11" fillId="5" borderId="13" xfId="0" applyNumberFormat="1" applyFont="1" applyFill="1" applyBorder="1" applyAlignment="1">
      <x:alignment vertical="center" wrapText="1"/>
    </x:xf>
    <x:xf numFmtId="0" fontId="11" fillId="5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A84200"/>
      </x:font>
      <x:fill>
        <x:patternFill patternType="solid">
          <x:bgColor rgb="FFFFE3CD"/>
        </x:patternFill>
      </x:fill>
    </x:dxf>
    <x:dxf>
      <x:font>
        <x:b/>
        <x:color rgb="FF6A1599"/>
      </x:font>
      <x:fill>
        <x:patternFill patternType="solid">
          <x:bgColor rgb="FFF0DAFF"/>
        </x:patternFill>
      </x:fill>
    </x:dxf>
    <x:dxf>
      <x:font>
        <x:b/>
        <x:color rgb="FF13764B"/>
      </x:font>
      <x:fill>
        <x:patternFill patternType="solid">
          <x:bgColor rgb="FFDDF8EA"/>
        </x:patternFill>
      </x:fill>
    </x:dxf>
    <x:dxf>
      <x:font>
        <x:color rgb="FFA31C2B"/>
      </x:font>
      <x:fill>
        <x:patternFill patternType="solid">
          <x:bgColor rgb="FFFFE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5e4025fb4c41a6" /><Relationship Type="http://schemas.openxmlformats.org/officeDocument/2006/relationships/theme" Target="/xl/theme/theme1.xml" Id="Ra07b844464fe4bb0" /><Relationship Type="http://schemas.openxmlformats.org/officeDocument/2006/relationships/sharedStrings" Target="/xl/sharedStrings.xml" Id="R738f0e3bbb1049a5" /><Relationship Type="http://schemas.openxmlformats.org/officeDocument/2006/relationships/worksheet" Target="/xl/worksheets/sheet1.xml" Id="R05aba7890d2e4eea" /><Relationship Type="http://schemas.openxmlformats.org/officeDocument/2006/relationships/worksheet" Target="/xl/worksheets/sheet2.xml" Id="Ra3461fbea8034782" /><Relationship Type="http://schemas.openxmlformats.org/officeDocument/2006/relationships/worksheet" Target="/xl/worksheets/sheet3.xml" Id="Rcce0863cd7c946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0eefa373bc41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عدد الفرص حسب الحي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كل الفرص</c:v>
          </c:tx>
          <c:cat>
            <c:strRef>
              <c:f>'لوحة المتابعة'!$A$11:$A$15</c:f>
              <c:strCache>
                <c:ptCount val="0"/>
              </c:strCache>
            </c:strRef>
          </c:cat>
          <c:val>
            <c:numRef>
              <c:f>'لوحة المتابعة'!$B$11:$B$15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0eefa373bc41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kkahLeadsTable" displayName="MakkahLeadsTable" ref="A5:S48" headerRowCount="1" totalsRowCount="0" totalsRowShown="0">
  <x:tableColumns count="19">
    <x:tableColumn id="1" name="المعرّف"/>
    <x:tableColumn id="2" name="الحي"/>
    <x:tableColumn id="3" name="النشاط"/>
    <x:tableColumn id="4" name="اسم المنشأة"/>
    <x:tableColumn id="5" name="التصنيف"/>
    <x:tableColumn id="6" name="الهاتف"/>
    <x:tableColumn id="7" name="البريد الإلكتروني"/>
    <x:tableColumn id="8" name="الأولوية"/>
    <x:tableColumn id="9" name="درجة الفرصة"/>
    <x:tableColumn id="10" name="الخدمة المقترحة"/>
    <x:tableColumn id="11" name="العنوان"/>
    <x:tableColumn id="12" name="الموقع الإلكتروني"/>
    <x:tableColumn id="13" name="رابط Google Maps"/>
    <x:tableColumn id="14" name="حالة التواصل"/>
    <x:tableColumn id="15" name="المسؤول"/>
    <x:tableColumn id="16" name="النتيجة"/>
    <x:tableColumn id="17" name="آخر تواصل"/>
    <x:tableColumn id="18" name="ملاحظات"/>
    <x:tableColumn id="19" name="تاريخ البحث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6e35dfeb3a43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f4dfc743d141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13.7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07" t="str">
        <x:v>لوحة فرص مكة | الدفعة الأولى</x:v>
      </x:c>
      <x:c r="B1" s="107"/>
      <x:c r="C1" s="107"/>
      <x:c r="D1" s="107"/>
      <x:c r="E1" s="107"/>
      <x:c r="F1" s="107"/>
      <x:c r="G1" s="107"/>
      <x:c r="H1" s="107"/>
    </x:row>
    <x:row r="2">
      <x:c r="A2" s="107"/>
      <x:c r="B2" s="107"/>
      <x:c r="C2" s="107"/>
      <x:c r="D2" s="107"/>
      <x:c r="E2" s="107"/>
      <x:c r="F2" s="107"/>
      <x:c r="G2" s="107"/>
      <x:c r="H2" s="107"/>
    </x:row>
    <x:row r="3">
      <x:c r="A3" s="8" t="str">
        <x:v>العوالي، العزيزية، الشوقية، النسيم، الشرائع | الشركات أولاً ثم المطاعم</x:v>
      </x:c>
      <x:c r="B3" s="8"/>
      <x:c r="C3" s="8"/>
      <x:c r="D3" s="8"/>
      <x:c r="E3" s="8"/>
      <x:c r="F3" s="8"/>
      <x:c r="G3" s="8"/>
      <x:c r="H3" s="8"/>
    </x:row>
    <x:row r="4">
      <x:c r="A4" s="108"/>
      <x:c r="B4" s="108"/>
      <x:c r="C4" s="108"/>
      <x:c r="D4" s="108"/>
      <x:c r="E4" s="108"/>
      <x:c r="F4" s="108"/>
      <x:c r="G4" s="108"/>
      <x:c r="H4" s="108"/>
    </x:row>
    <x:row r="5">
      <x:c r="A5" s="109" t="str">
        <x:v>إجمالي الفرص</x:v>
      </x:c>
      <x:c r="B5" s="109" t="str"/>
      <x:c r="C5" s="109" t="str">
        <x:v>شركات أولوية 1</x:v>
      </x:c>
      <x:c r="D5" s="109" t="str"/>
      <x:c r="E5" s="109" t="str">
        <x:v>مطاعم أولوية 2</x:v>
      </x:c>
      <x:c r="F5" s="109" t="str"/>
      <x:c r="G5" s="109" t="str">
        <x:v>تم التواصل</x:v>
      </x:c>
      <x:c r="H5" s="109" t="str"/>
    </x:row>
    <x:row r="6">
      <x:c r="A6" s="110" t="n">
        <x:f>COUNTA('الفرص'!$A$6:$A$205)</x:f>
        <x:v>43</x:v>
      </x:c>
      <x:c r="B6" s="111"/>
      <x:c r="C6" s="111" t="n">
        <x:f>COUNTIF('الفرص'!$H$6:$H$205,1)</x:f>
        <x:v>18</x:v>
      </x:c>
      <x:c r="D6" s="111"/>
      <x:c r="E6" s="111" t="n">
        <x:f>COUNTIF('الفرص'!$H$6:$H$205,2)</x:f>
        <x:v>25</x:v>
      </x:c>
      <x:c r="F6" s="111"/>
      <x:c r="G6" s="111" t="n">
        <x:f>COUNTIF('الفرص'!$N$6:$N$205,"تم التواصل")+COUNTIF('الفرص'!$N$6:$N$205,"مهتم")+COUNTIF('الفرص'!$N$6:$N$205,"تحول إلى عميل")</x:f>
        <x:v>0</x:v>
      </x:c>
      <x:c r="H6" s="112"/>
    </x:row>
    <x:row r="7">
      <x:c r="A7" s="113"/>
      <x:c r="B7" s="114"/>
      <x:c r="C7" s="114"/>
      <x:c r="D7" s="114"/>
      <x:c r="E7" s="114"/>
      <x:c r="F7" s="114"/>
      <x:c r="G7" s="114"/>
      <x:c r="H7" s="115"/>
    </x:row>
    <x:row r="8">
      <x:c r="A8" s="108"/>
      <x:c r="B8" s="108"/>
      <x:c r="C8" s="108"/>
      <x:c r="D8" s="108"/>
      <x:c r="E8" s="108"/>
      <x:c r="F8" s="108"/>
      <x:c r="G8" s="108"/>
      <x:c r="H8" s="108"/>
    </x:row>
    <x:row r="9">
      <x:c r="A9" s="108"/>
      <x:c r="B9" s="108"/>
      <x:c r="C9" s="108"/>
      <x:c r="D9" s="108"/>
      <x:c r="E9" s="108"/>
      <x:c r="F9" s="108"/>
      <x:c r="G9" s="108"/>
      <x:c r="H9" s="108"/>
    </x:row>
    <x:row r="10" ht="19.5" customHeight="1">
      <x:c r="A10" s="116" t="str">
        <x:v>الحي</x:v>
      </x:c>
      <x:c r="B10" s="116" t="str">
        <x:v>كل الفرص</x:v>
      </x:c>
      <x:c r="C10" s="116" t="str">
        <x:v>الأولوية 1</x:v>
      </x:c>
      <x:c r="D10" s="116" t="str">
        <x:v>الأولوية 2</x:v>
      </x:c>
      <x:c r="E10" s="108"/>
      <x:c r="F10" s="117" t="str">
        <x:v>ترتيب العمل</x:v>
      </x:c>
      <x:c r="G10" s="117" t="str"/>
      <x:c r="H10" s="117" t="str"/>
    </x:row>
    <x:row r="11" ht="30" customHeight="1">
      <x:c r="A11" s="118" t="str">
        <x:v>العوالي</x:v>
      </x:c>
      <x:c r="B11" s="118" t="n">
        <x:f>COUNTIF('الفرص'!$B$6:$B$205,A11)</x:f>
        <x:v>9</x:v>
      </x:c>
      <x:c r="C11" s="118" t="n">
        <x:f>COUNTIFS('الفرص'!$B$6:$B$205,A11,'الفرص'!$H$6:$H$205,1)</x:f>
        <x:v>3</x:v>
      </x:c>
      <x:c r="D11" s="118" t="n">
        <x:f>COUNTIFS('الفرص'!$B$6:$B$205,A11,'الفرص'!$H$6:$H$205,2)</x:f>
        <x:v>6</x:v>
      </x:c>
      <x:c r="E11" s="108"/>
      <x:c r="F11" s="104" t="str">
        <x:v>1</x:v>
      </x:c>
      <x:c r="G11" s="104" t="str">
        <x:v>ابدأ بالشركات ذات الهاتف والموقع</x:v>
      </x:c>
      <x:c r="H11" s="104" t="str">
        <x:v>رسالة مخصصة ثم اتصال</x:v>
      </x:c>
    </x:row>
    <x:row r="12" ht="30" customHeight="1">
      <x:c r="A12" s="119" t="str">
        <x:v>العزيزية</x:v>
      </x:c>
      <x:c r="B12" s="119" t="n">
        <x:f>COUNTIF('الفرص'!$B$6:$B$205,A12)</x:f>
        <x:v>8</x:v>
      </x:c>
      <x:c r="C12" s="119" t="n">
        <x:f>COUNTIFS('الفرص'!$B$6:$B$205,A12,'الفرص'!$H$6:$H$205,1)</x:f>
        <x:v>4</x:v>
      </x:c>
      <x:c r="D12" s="119" t="n">
        <x:f>COUNTIFS('الفرص'!$B$6:$B$205,A12,'الفرص'!$H$6:$H$205,2)</x:f>
        <x:v>4</x:v>
      </x:c>
      <x:c r="E12" s="108"/>
      <x:c r="F12" s="105" t="str">
        <x:v>2</x:v>
      </x:c>
      <x:c r="G12" s="105" t="str">
        <x:v>المطاعم ذات حضور بصري ضعيف</x:v>
      </x:c>
      <x:c r="H12" s="105" t="str">
        <x:v>تدقيق سريع ثم عرض تصوير</x:v>
      </x:c>
    </x:row>
    <x:row r="13" ht="30" customHeight="1">
      <x:c r="A13" s="119" t="str">
        <x:v>الشوقية</x:v>
      </x:c>
      <x:c r="B13" s="119" t="n">
        <x:f>COUNTIF('الفرص'!$B$6:$B$205,A13)</x:f>
        <x:v>9</x:v>
      </x:c>
      <x:c r="C13" s="119" t="n">
        <x:f>COUNTIFS('الفرص'!$B$6:$B$205,A13,'الفرص'!$H$6:$H$205,1)</x:f>
        <x:v>4</x:v>
      </x:c>
      <x:c r="D13" s="119" t="n">
        <x:f>COUNTIFS('الفرص'!$B$6:$B$205,A13,'الفرص'!$H$6:$H$205,2)</x:f>
        <x:v>5</x:v>
      </x:c>
      <x:c r="E13" s="108"/>
      <x:c r="F13" s="105" t="str">
        <x:v>3</x:v>
      </x:c>
      <x:c r="G13" s="105" t="str">
        <x:v>سجّل المسؤول قبل الاتصال</x:v>
      </x:c>
      <x:c r="H13" s="105" t="str">
        <x:v>لمنع التكرار بين الفريق</x:v>
      </x:c>
    </x:row>
    <x:row r="14" ht="30" customHeight="1">
      <x:c r="A14" s="119" t="str">
        <x:v>النسيم</x:v>
      </x:c>
      <x:c r="B14" s="119" t="n">
        <x:f>COUNTIF('الفرص'!$B$6:$B$205,A14)</x:f>
        <x:v>9</x:v>
      </x:c>
      <x:c r="C14" s="119" t="n">
        <x:f>COUNTIFS('الفرص'!$B$6:$B$205,A14,'الفرص'!$H$6:$H$205,1)</x:f>
        <x:v>4</x:v>
      </x:c>
      <x:c r="D14" s="119" t="n">
        <x:f>COUNTIFS('الفرص'!$B$6:$B$205,A14,'الفرص'!$H$6:$H$205,2)</x:f>
        <x:v>5</x:v>
      </x:c>
      <x:c r="E14" s="108"/>
      <x:c r="F14" s="105" t="str">
        <x:v>4</x:v>
      </x:c>
      <x:c r="G14" s="105" t="str">
        <x:v>حدّث النتيجة فوراً</x:v>
      </x:c>
      <x:c r="H14" s="105" t="str">
        <x:v>مهتم، متابعة، أو غير مهتم</x:v>
      </x:c>
    </x:row>
    <x:row r="15" ht="30" customHeight="1">
      <x:c r="A15" s="120" t="str">
        <x:v>الشرائع</x:v>
      </x:c>
      <x:c r="B15" s="120" t="n">
        <x:f>COUNTIF('الفرص'!$B$6:$B$205,A15)</x:f>
        <x:v>8</x:v>
      </x:c>
      <x:c r="C15" s="120" t="n">
        <x:f>COUNTIFS('الفرص'!$B$6:$B$205,A15,'الفرص'!$H$6:$H$205,1)</x:f>
        <x:v>3</x:v>
      </x:c>
      <x:c r="D15" s="120" t="n">
        <x:f>COUNTIFS('الفرص'!$B$6:$B$205,A15,'الفرص'!$H$6:$H$205,2)</x:f>
        <x:v>5</x:v>
      </x:c>
      <x:c r="E15" s="108"/>
      <x:c r="F15" s="106" t="str">
        <x:v>5</x:v>
      </x:c>
      <x:c r="G15" s="106" t="str">
        <x:v>حوّل المهتم إلى عميل أو مهمة</x:v>
      </x:c>
      <x:c r="H15" s="106" t="str">
        <x:v>ثم أكمل من لوحة الموظفين</x:v>
      </x:c>
    </x:row>
    <x:row r="16">
      <x:c r="A16" s="108"/>
      <x:c r="B16" s="108"/>
      <x:c r="C16" s="108"/>
      <x:c r="D16" s="108"/>
      <x:c r="E16" s="108"/>
      <x:c r="F16" s="108"/>
      <x:c r="G16" s="108"/>
      <x:c r="H16" s="108"/>
    </x:row>
    <x:row r="17">
      <x:c r="A17" s="108"/>
      <x:c r="B17" s="108"/>
      <x:c r="C17" s="108"/>
      <x:c r="D17" s="108"/>
      <x:c r="E17" s="108"/>
      <x:c r="F17" s="108"/>
      <x:c r="G17" s="108"/>
      <x:c r="H17" s="108"/>
    </x:row>
    <x:row r="18">
      <x:c r="A18" s="108"/>
      <x:c r="B18" s="108"/>
      <x:c r="C18" s="108"/>
      <x:c r="D18" s="108"/>
      <x:c r="E18" s="108"/>
      <x:c r="F18" s="108"/>
      <x:c r="G18" s="108"/>
      <x:c r="H18" s="108"/>
    </x:row>
    <x:row r="19">
      <x:c r="A19" s="108"/>
      <x:c r="B19" s="108"/>
      <x:c r="C19" s="108"/>
      <x:c r="D19" s="108"/>
      <x:c r="E19" s="108"/>
      <x:c r="F19" s="108"/>
      <x:c r="G19" s="108"/>
      <x:c r="H19" s="108"/>
    </x:row>
    <x:row r="20">
      <x:c r="A20" s="108"/>
      <x:c r="B20" s="108"/>
      <x:c r="C20" s="108"/>
      <x:c r="D20" s="108"/>
      <x:c r="E20" s="108"/>
      <x:c r="F20" s="108"/>
      <x:c r="G20" s="108"/>
      <x:c r="H20" s="108"/>
    </x:row>
    <x:row r="21">
      <x:c r="A21" s="108"/>
      <x:c r="B21" s="108"/>
      <x:c r="C21" s="108"/>
      <x:c r="D21" s="108"/>
      <x:c r="E21" s="108"/>
      <x:c r="F21" s="108"/>
      <x:c r="G21" s="108"/>
      <x:c r="H21" s="108"/>
    </x:row>
    <x:row r="22">
      <x:c r="A22" s="108"/>
      <x:c r="B22" s="108"/>
      <x:c r="C22" s="108"/>
      <x:c r="D22" s="108"/>
      <x:c r="E22" s="108"/>
      <x:c r="F22" s="108"/>
      <x:c r="G22" s="108"/>
      <x:c r="H22" s="108"/>
    </x:row>
    <x:row r="23">
      <x:c r="A23" s="108"/>
      <x:c r="B23" s="108"/>
      <x:c r="C23" s="108"/>
      <x:c r="D23" s="108"/>
      <x:c r="E23" s="108"/>
      <x:c r="F23" s="108"/>
      <x:c r="G23" s="108"/>
      <x:c r="H23" s="108"/>
    </x:row>
    <x:row r="24">
      <x:c r="A24" s="108"/>
      <x:c r="B24" s="108"/>
      <x:c r="C24" s="108"/>
      <x:c r="D24" s="108"/>
      <x:c r="E24" s="108"/>
      <x:c r="F24" s="108"/>
      <x:c r="G24" s="108"/>
      <x:c r="H24" s="108"/>
    </x:row>
    <x:row r="25">
      <x:c r="A25" s="108"/>
      <x:c r="B25" s="108"/>
      <x:c r="C25" s="108"/>
      <x:c r="D25" s="108"/>
      <x:c r="E25" s="108"/>
      <x:c r="F25" s="108"/>
      <x:c r="G25" s="108"/>
      <x:c r="H25" s="108"/>
    </x:row>
    <x:row r="26">
      <x:c r="A26" s="108"/>
      <x:c r="B26" s="108"/>
      <x:c r="C26" s="108"/>
      <x:c r="D26" s="108"/>
      <x:c r="E26" s="108"/>
      <x:c r="F26" s="108"/>
      <x:c r="G26" s="108"/>
      <x:c r="H26" s="108"/>
    </x:row>
    <x:row r="27">
      <x:c r="A27" s="108"/>
      <x:c r="B27" s="108"/>
      <x:c r="C27" s="108"/>
      <x:c r="D27" s="108"/>
      <x:c r="E27" s="108"/>
      <x:c r="F27" s="108"/>
      <x:c r="G27" s="108"/>
      <x:c r="H27" s="108"/>
    </x:row>
    <x:row r="28">
      <x:c r="A28" s="108"/>
      <x:c r="B28" s="108"/>
      <x:c r="C28" s="108"/>
      <x:c r="D28" s="108"/>
      <x:c r="E28" s="108"/>
      <x:c r="F28" s="108"/>
      <x:c r="G28" s="108"/>
      <x:c r="H28" s="108"/>
    </x:row>
    <x:row r="29">
      <x:c r="A29" s="108"/>
      <x:c r="B29" s="108"/>
      <x:c r="C29" s="108"/>
      <x:c r="D29" s="108"/>
      <x:c r="E29" s="108"/>
      <x:c r="F29" s="108"/>
      <x:c r="G29" s="108"/>
      <x:c r="H29" s="108"/>
    </x:row>
    <x:row r="30">
      <x:c r="A30" s="108"/>
      <x:c r="B30" s="108"/>
      <x:c r="C30" s="108"/>
      <x:c r="D30" s="108"/>
      <x:c r="E30" s="108"/>
      <x:c r="F30" s="108"/>
      <x:c r="G30" s="108"/>
      <x:c r="H30" s="108"/>
    </x:row>
    <x:row r="31">
      <x:c r="A31" s="108"/>
      <x:c r="B31" s="108"/>
      <x:c r="C31" s="108"/>
      <x:c r="D31" s="108"/>
      <x:c r="E31" s="108"/>
      <x:c r="F31" s="108"/>
      <x:c r="G31" s="108"/>
      <x:c r="H31" s="108"/>
    </x:row>
    <x:row r="32">
      <x:c r="A32" s="108"/>
      <x:c r="B32" s="108"/>
      <x:c r="C32" s="108"/>
      <x:c r="D32" s="108"/>
      <x:c r="E32" s="108"/>
      <x:c r="F32" s="108"/>
      <x:c r="G32" s="108"/>
      <x:c r="H32" s="108"/>
    </x:row>
    <x:row r="33">
      <x:c r="A33" s="108"/>
      <x:c r="B33" s="108"/>
      <x:c r="C33" s="108"/>
      <x:c r="D33" s="108"/>
      <x:c r="E33" s="108"/>
      <x:c r="F33" s="108"/>
      <x:c r="G33" s="108"/>
      <x:c r="H33" s="108"/>
    </x:row>
    <x:row r="34">
      <x:c r="A34" s="108"/>
      <x:c r="B34" s="108"/>
      <x:c r="C34" s="108"/>
      <x:c r="D34" s="108"/>
      <x:c r="E34" s="108"/>
      <x:c r="F34" s="108"/>
      <x:c r="G34" s="108"/>
      <x:c r="H34" s="108"/>
    </x:row>
  </x:sheetData>
  <x:mergeCells>
    <x:mergeCell ref="A1:H2"/>
    <x:mergeCell ref="A3:H3"/>
    <x:mergeCell ref="A6:B7"/>
    <x:mergeCell ref="C6:D7"/>
    <x:mergeCell ref="E6:F7"/>
    <x:mergeCell ref="G6:H7"/>
    <x:mergeCell ref="F10:H10"/>
  </x:mergeCells>
  <x:pageMargins left="0.7" right="0.7" top="0.75" bottom="0.75" header="0.3" footer="0.3"/>
  <x:drawing xmlns:r="http://schemas.openxmlformats.org/officeDocument/2006/relationships" r:id="Rc06e35dfeb3a43b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9.380000114440918" hidden="0" customWidth="1"/>
    <x:col min="3" max="3" width="15.630000114440918" hidden="0" customWidth="1"/>
    <x:col min="4" max="4" width="26.25" hidden="0" customWidth="1"/>
    <x:col min="5" max="5" width="11.25" hidden="0" customWidth="1"/>
    <x:col min="6" max="6" width="13.130000114440918" hidden="0" customWidth="1"/>
    <x:col min="7" max="7" width="18.75" hidden="0" customWidth="1"/>
    <x:col min="8" max="8" width="7.75" hidden="0" customWidth="1"/>
    <x:col min="9" max="9" width="9.380000114440918" hidden="0" customWidth="1"/>
    <x:col min="10" max="10" width="27.5" hidden="0" customWidth="1"/>
    <x:col min="11" max="11" width="32.5" hidden="0" customWidth="1"/>
    <x:col min="12" max="12" width="22.5" hidden="0" customWidth="1"/>
    <x:col min="13" max="13" width="30" hidden="0" customWidth="1"/>
    <x:col min="14" max="14" width="11.880000114440918" hidden="0" customWidth="1"/>
    <x:col min="15" max="15" width="10" hidden="0" customWidth="1"/>
    <x:col min="16" max="16" width="13.130000114440918" hidden="0" customWidth="1"/>
    <x:col min="17" max="17" width="11.880000114440918" hidden="0" customWidth="1"/>
    <x:col min="18" max="18" width="22.5" hidden="0" customWidth="1"/>
    <x:col min="19" max="19" width="10.630000114440918" hidden="0" customWidth="1"/>
  </x:cols>
  <x:sheetData>
    <x:row r="1" ht="25.5" customHeight="1">
      <x:c r="A1" s="4" t="str">
        <x:v>دفعة فرص مكة الأولى | خمسة أحياء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25.5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25.5" customHeight="1">
      <x:c r="A3" s="9" t="str">
        <x:v>مصادر عامة محدثة في 2026-08-10. أرقام الاتصال وروابط المصادر موثقة لكل فرصة، والحقول التشغيلية مهيأة للتحديث من الفريق.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  <x:c r="S3" s="9"/>
    </x:row>
    <x:row r="5" ht="31.5" hidden="0" customHeight="1">
      <x:c r="A5" s="21" t="str">
        <x:v>المعرّف</x:v>
      </x:c>
      <x:c r="B5" s="22" t="str">
        <x:v>الحي</x:v>
      </x:c>
      <x:c r="C5" s="22" t="str">
        <x:v>النشاط</x:v>
      </x:c>
      <x:c r="D5" s="22" t="str">
        <x:v>اسم المنشأة</x:v>
      </x:c>
      <x:c r="E5" s="22" t="str">
        <x:v>التصنيف</x:v>
      </x:c>
      <x:c r="F5" s="22" t="str">
        <x:v>الهاتف</x:v>
      </x:c>
      <x:c r="G5" s="22" t="str">
        <x:v>البريد الإلكتروني</x:v>
      </x:c>
      <x:c r="H5" s="22" t="str">
        <x:v>الأولوية</x:v>
      </x:c>
      <x:c r="I5" s="22" t="str">
        <x:v>درجة الفرصة</x:v>
      </x:c>
      <x:c r="J5" s="22" t="str">
        <x:v>الخدمة المقترحة</x:v>
      </x:c>
      <x:c r="K5" s="22" t="str">
        <x:v>العنوان</x:v>
      </x:c>
      <x:c r="L5" s="22" t="str">
        <x:v>الموقع الإلكتروني</x:v>
      </x:c>
      <x:c r="M5" s="22" t="str">
        <x:v>رابط Google Maps</x:v>
      </x:c>
      <x:c r="N5" s="22" t="str">
        <x:v>حالة التواصل</x:v>
      </x:c>
      <x:c r="O5" s="22" t="str">
        <x:v>المسؤول</x:v>
      </x:c>
      <x:c r="P5" s="22" t="str">
        <x:v>النتيجة</x:v>
      </x:c>
      <x:c r="Q5" s="22" t="str">
        <x:v>آخر تواصل</x:v>
      </x:c>
      <x:c r="R5" s="22" t="str">
        <x:v>ملاحظات</x:v>
      </x:c>
      <x:c r="S5" s="23" t="str">
        <x:v>تاريخ البحث</x:v>
      </x:c>
    </x:row>
    <x:row r="6" ht="583.2000122070312" hidden="0" customHeight="1">
      <x:c r="A6" s="47" t="str">
        <x:v>MKB1-001</x:v>
      </x:c>
      <x:c r="B6" s="47" t="str">
        <x:v>العوالي</x:v>
      </x:c>
      <x:c r="C6" s="47" t="str">
        <x:v>عقار ومقاولات واستثمار</x:v>
      </x:c>
      <x:c r="D6" s="48" t="str">
        <x:v>مؤسسة الصمصام العقاري تسويق وادارة املاك الفرع الاول</x:v>
      </x:c>
      <x:c r="E6" s="49" t="str">
        <x:v>شركة أو مؤسسة</x:v>
      </x:c>
      <x:c r="F6" s="47" t="str">
        <x:v>055 555 3980</x:v>
      </x:c>
      <x:c r="G6" s="47" t="str"/>
      <x:c r="H6" s="47" t="n">
        <x:v>1</x:v>
      </x:c>
      <x:c r="I6" s="47" t="n">
        <x:v>95</x:v>
      </x:c>
      <x:c r="J6" s="49" t="str">
        <x:v>هوية مؤسسية ومحتوى مشاريع وحملات توليد عملاء</x:v>
      </x:c>
      <x:c r="K6" s="49" t="str">
        <x:v>الشيخ محمد بن مانع، مكة 24372</x:v>
      </x:c>
      <x:c r="L6" s="49" t="str">
        <x:v>https://t.me/alsmsamalaqari</x:v>
      </x:c>
      <x:c r="M6" s="49" t="str">
        <x:v>https://www.google.com/maps/place/%D9%85%D8%A4%D8%B3%D8%B3%D8%A9+%D8%A7%D9%84%D8%B5%D9%85%D8%B5%D8%A7%D9%85+%D8%A7%D9%84%D8%B9%D9%82%D8%A7%D8%B1%D9%8A+%D8%AA%D8%B3%D9%88%D9%8A%D9%82+%D9%88%D8%A7%D8%AF%D8%A7%D8%B1%D8%A9+%D8%A7%D9%85%D9%84%D8%A7%D9%83+%D8%A7%D9%84%D9%81%D8%B1%D8%B9+%D8%A7%D9%84%D8%A7%D9%88%D9%84%E2%80%AD/data=!4m7!3m6!1s0x15c20503d5f74a23:0x125933ec57f1c886!8m2!3d21.3612231!4d39.8911703!16s%2Fg%2F11p02rq084!19sChIJI0r31QMFwhURhsjxV-wzWRI?authuser=0&amp;hl=ar&amp;rclk=1</x:v>
      </x:c>
      <x:c r="N6" s="50" t="str">
        <x:v>جديد</x:v>
      </x:c>
      <x:c r="O6" s="50" t="str"/>
      <x:c r="P6" s="50" t="str">
        <x:v>لم يتم التواصل</x:v>
      </x:c>
      <x:c r="Q6" s="50" t="str"/>
      <x:c r="R6" s="49" t="str"/>
      <x:c r="S6" s="49" t="str">
        <x:v>2026-08-10</x:v>
      </x:c>
    </x:row>
    <x:row r="7" ht="356.3999938964844" hidden="0" customHeight="1">
      <x:c r="A7" s="51" t="str">
        <x:v>MKB1-002</x:v>
      </x:c>
      <x:c r="B7" s="51" t="str">
        <x:v>العوالي</x:v>
      </x:c>
      <x:c r="C7" s="51" t="str">
        <x:v>عقار ومقاولات واستثمار</x:v>
      </x:c>
      <x:c r="D7" s="52" t="str">
        <x:v>شركة جوار للاستثمار</x:v>
      </x:c>
      <x:c r="E7" s="53" t="str">
        <x:v>شركة أو مؤسسة</x:v>
      </x:c>
      <x:c r="F7" s="51" t="str">
        <x:v>053 525 0011</x:v>
      </x:c>
      <x:c r="G7" s="51" t="str"/>
      <x:c r="H7" s="51" t="n">
        <x:v>1</x:v>
      </x:c>
      <x:c r="I7" s="51" t="n">
        <x:v>95</x:v>
      </x:c>
      <x:c r="J7" s="53" t="str">
        <x:v>هوية مؤسسية ومحتوى مشاريع وحملات توليد عملاء</x:v>
      </x:c>
      <x:c r="K7" s="53" t="str">
        <x:v>جبل ثور، سنتر العوالي، مكتب 308، حي العوالي، مكة</x:v>
      </x:c>
      <x:c r="L7" s="53" t="str">
        <x:v>https://jewarinv.com.sa/</x:v>
      </x:c>
      <x:c r="M7" s="53" t="str">
        <x:v>https://www.google.com/maps/place/%D8%B4%D8%B1%D9%83%D8%A9+%D8%AC%D9%88%D8%A7%D8%B1+%D9%84%D9%84%D8%A7%D8%B3%D8%AA%D8%AB%D9%85%D8%A7%D8%B1%E2%80%AD/data=!4m7!3m6!1s0x15c2059888019c7b:0xb4428d9464e62b7f!8m2!3d21.3623347!4d39.8910155!16s%2Fg%2F11vhx6kn0f!19sChIJe5wBiJgFwhURfyvmZJSNQrQ?authuser=0&amp;hl=ar&amp;rclk=1</x:v>
      </x:c>
      <x:c r="N7" s="54" t="str">
        <x:v>جديد</x:v>
      </x:c>
      <x:c r="O7" s="54" t="str"/>
      <x:c r="P7" s="54" t="str">
        <x:v>لم يتم التواصل</x:v>
      </x:c>
      <x:c r="Q7" s="54" t="str"/>
      <x:c r="R7" s="53" t="str"/>
      <x:c r="S7" s="53" t="str">
        <x:v>2026-08-10</x:v>
      </x:c>
    </x:row>
    <x:row r="8" ht="302.3999938964844" hidden="0" customHeight="1">
      <x:c r="A8" s="51" t="str">
        <x:v>MKB1-003</x:v>
      </x:c>
      <x:c r="B8" s="51" t="str">
        <x:v>العوالي</x:v>
      </x:c>
      <x:c r="C8" s="51" t="str">
        <x:v>شركة أو مؤسسة</x:v>
      </x:c>
      <x:c r="D8" s="52" t="str">
        <x:v>شركة وادي مكة</x:v>
      </x:c>
      <x:c r="E8" s="53" t="str">
        <x:v>شركة أو مؤسسة</x:v>
      </x:c>
      <x:c r="F8" s="51" t="str">
        <x:v>012 550 3322</x:v>
      </x:c>
      <x:c r="G8" s="51" t="str"/>
      <x:c r="H8" s="51" t="n">
        <x:v>1</x:v>
      </x:c>
      <x:c r="I8" s="51" t="n">
        <x:v>95</x:v>
      </x:c>
      <x:c r="J8" s="53" t="str">
        <x:v>تدقيق حضور رقمي وخطة محتوى وحملات أداء</x:v>
      </x:c>
      <x:c r="K8" s="53" t="str">
        <x:v>جامعة، 4299، 7310، مكة 24381</x:v>
      </x:c>
      <x:c r="L8" s="53" t="str">
        <x:v>http://wadimakkah.sa/</x:v>
      </x:c>
      <x:c r="M8" s="53" t="str">
        <x:v>https://www.google.com/maps/place/%D8%B4%D8%B1%D9%83%D8%A9+%D9%88%D8%A7%D8%AF%D9%8A+%D9%85%D9%83%D8%A9%E2%80%AD/data=!4m7!3m6!1s0x15c207e0cb085917:0xc67f3340249f45fc!8m2!3d21.3244664!4d39.9592434!16s%2Fg%2F11b8_x2qmg!19sChIJF1kIy-AHwhUR_EWfJEAzf8Y?authuser=0&amp;hl=ar&amp;rclk=1</x:v>
      </x:c>
      <x:c r="N8" s="54" t="str">
        <x:v>جديد</x:v>
      </x:c>
      <x:c r="O8" s="54" t="str"/>
      <x:c r="P8" s="54" t="str">
        <x:v>لم يتم التواصل</x:v>
      </x:c>
      <x:c r="Q8" s="54" t="str"/>
      <x:c r="R8" s="53" t="str"/>
      <x:c r="S8" s="53" t="str">
        <x:v>2026-08-10</x:v>
      </x:c>
    </x:row>
    <x:row r="9" ht="345.6000061035156" hidden="0" customHeight="1">
      <x:c r="A9" s="51" t="str">
        <x:v>MKB1-004</x:v>
      </x:c>
      <x:c r="B9" s="51" t="str">
        <x:v>العوالي</x:v>
      </x:c>
      <x:c r="C9" s="51" t="str">
        <x:v>مطاعم وضيافة</x:v>
      </x:c>
      <x:c r="D9" s="52" t="str">
        <x:v>مطعم ميدان العوالي</x:v>
      </x:c>
      <x:c r="E9" s="53" t="str">
        <x:v>مطعم</x:v>
      </x:c>
      <x:c r="F9" s="51" t="str">
        <x:v>053 650 4645</x:v>
      </x:c>
      <x:c r="G9" s="51" t="str"/>
      <x:c r="H9" s="51" t="n">
        <x:v>2</x:v>
      </x:c>
      <x:c r="I9" s="51" t="n">
        <x:v>82</x:v>
      </x:c>
      <x:c r="J9" s="53" t="str">
        <x:v>تصوير ومحتوى قصير وإدارة حسابات وحملات زيارات محلية</x:v>
      </x:c>
      <x:c r="K9" s="53" t="str">
        <x:v>الشيخ محمد بن مانع، مكة 24372</x:v>
      </x:c>
      <x:c r="L9" s="53" t="str">
        <x:v>https://linktr.ee/medan.alawali.com43b-dfaf-4f7b-ab61-3bdd58f2ef9e</x:v>
      </x:c>
      <x:c r="M9" s="53" t="str">
        <x:v>https://www.google.com/maps/place/%D9%85%D8%B7%D8%B9%D9%85+%D9%85%D9%8A%D8%AF%D8%A7%D9%86+%D8%A7%D9%84%D8%B9%D9%88%D8%A7%D9%84%D9%8A%E2%80%AD/data=!4m7!3m6!1s0x15c205397f2df771:0xd8dcc7a65f0fd883!8m2!3d21.3591443!4d39.8918761!16s%2Fg%2F11f6g5j7hx!19sChIJcfctfzkFwhURg9gPX6bH3Ng?authuser=0&amp;hl=ar&amp;rclk=1</x:v>
      </x:c>
      <x:c r="N9" s="54" t="str">
        <x:v>جديد</x:v>
      </x:c>
      <x:c r="O9" s="54" t="str"/>
      <x:c r="P9" s="54" t="str">
        <x:v>لم يتم التواصل</x:v>
      </x:c>
      <x:c r="Q9" s="54" t="str"/>
      <x:c r="R9" s="53" t="str"/>
      <x:c r="S9" s="53" t="str">
        <x:v>2026-08-10</x:v>
      </x:c>
    </x:row>
    <x:row r="10" ht="388.79998779296875" hidden="0" customHeight="1">
      <x:c r="A10" s="51" t="str">
        <x:v>MKB1-005</x:v>
      </x:c>
      <x:c r="B10" s="51" t="str">
        <x:v>العوالي</x:v>
      </x:c>
      <x:c r="C10" s="51" t="str">
        <x:v>مطاعم وضيافة</x:v>
      </x:c>
      <x:c r="D10" s="52" t="str">
        <x:v>مذاق المنئوشة | حي العوالي</x:v>
      </x:c>
      <x:c r="E10" s="53" t="str">
        <x:v>مطعم</x:v>
      </x:c>
      <x:c r="F10" s="51" t="str">
        <x:v>055 008 5462</x:v>
      </x:c>
      <x:c r="G10" s="51" t="str"/>
      <x:c r="H10" s="51" t="n">
        <x:v>2</x:v>
      </x:c>
      <x:c r="I10" s="51" t="n">
        <x:v>82</x:v>
      </x:c>
      <x:c r="J10" s="53" t="str">
        <x:v>تصوير ومحتوى قصير وإدارة حسابات وحملات زيارات محلية</x:v>
      </x:c>
      <x:c r="K10" s="53" t="str">
        <x:v>شارع الامير سلطان، مكة 24372</x:v>
      </x:c>
      <x:c r="L10" s="53" t="str">
        <x:v>https://linktr.ee/ALMANOUSHE</x:v>
      </x:c>
      <x:c r="M10" s="53" t="str">
        <x:v>https://www.google.com/maps/place/%D9%85%D8%B0%D8%A7%D9%82+%D8%A7%D9%84%D9%85%D9%86%D8%A6%D9%88%D8%B4%D8%A9+%7C+%D8%AD%D9%8A+%D8%A7%D9%84%D8%B9%D9%88%D8%A7%D9%84%D9%8A%E2%80%AD/data=!4m7!3m6!1s0x15c205cf5990d9ff:0xdacdba2c0d7a9382!8m2!3d21.36052!4d39.9000298!16s%2Fg%2F11wr2l57c_!19sChIJ_9mQWc8FwhURgpN6DSy6zdo?authuser=0&amp;hl=ar&amp;rclk=1</x:v>
      </x:c>
      <x:c r="N10" s="54" t="str">
        <x:v>جديد</x:v>
      </x:c>
      <x:c r="O10" s="54" t="str"/>
      <x:c r="P10" s="54" t="str">
        <x:v>لم يتم التواصل</x:v>
      </x:c>
      <x:c r="Q10" s="54" t="str"/>
      <x:c r="R10" s="53" t="str"/>
      <x:c r="S10" s="53" t="str">
        <x:v>2026-08-10</x:v>
      </x:c>
    </x:row>
    <x:row r="11" ht="280.79998779296875" hidden="0" customHeight="1">
      <x:c r="A11" s="51" t="str">
        <x:v>MKB1-006</x:v>
      </x:c>
      <x:c r="B11" s="51" t="str">
        <x:v>العوالي</x:v>
      </x:c>
      <x:c r="C11" s="51" t="str">
        <x:v>مطاعم وضيافة</x:v>
      </x:c>
      <x:c r="D11" s="52" t="str">
        <x:v>مطعم ششني</x:v>
      </x:c>
      <x:c r="E11" s="53" t="str">
        <x:v>مطعم</x:v>
      </x:c>
      <x:c r="F11" s="51" t="str">
        <x:v>054 960 8060</x:v>
      </x:c>
      <x:c r="G11" s="51" t="str"/>
      <x:c r="H11" s="51" t="n">
        <x:v>2</x:v>
      </x:c>
      <x:c r="I11" s="51" t="n">
        <x:v>82</x:v>
      </x:c>
      <x:c r="J11" s="53" t="str">
        <x:v>تصوير ومحتوى قصير وإدارة حسابات وحملات زيارات محلية</x:v>
      </x:c>
      <x:c r="K11" s="53" t="str">
        <x:v>طريق النسيم جبل ثور، العوالي سنتر، مكة 24372</x:v>
      </x:c>
      <x:c r="L11" s="53" t="str">
        <x:v>https://shishni.yallaqrcodes.com/branch/1/menu/</x:v>
      </x:c>
      <x:c r="M11" s="53" t="str">
        <x:v>https://www.google.com/maps/place/%D9%85%D8%B7%D8%B9%D9%85+%D8%B4%D8%B4%D9%86%D9%8A%E2%80%AD/data=!4m7!3m6!1s0x15c205723f161c5b:0xaa3bd4c9b7b333a0!8m2!3d21.3622493!4d39.8909021!16s%2Fg%2F11trzxc_3k!19sChIJWxwWP3IFwhURoDOzt8nUO6o?authuser=0&amp;hl=ar&amp;rclk=1</x:v>
      </x:c>
      <x:c r="N11" s="54" t="str">
        <x:v>جديد</x:v>
      </x:c>
      <x:c r="O11" s="54" t="str"/>
      <x:c r="P11" s="54" t="str">
        <x:v>لم يتم التواصل</x:v>
      </x:c>
      <x:c r="Q11" s="54" t="str"/>
      <x:c r="R11" s="53" t="str"/>
      <x:c r="S11" s="53" t="str">
        <x:v>2026-08-10</x:v>
      </x:c>
    </x:row>
    <x:row r="12" ht="399.6000061035156" hidden="0" customHeight="1">
      <x:c r="A12" s="51" t="str">
        <x:v>MKB1-007</x:v>
      </x:c>
      <x:c r="B12" s="51" t="str">
        <x:v>العوالي</x:v>
      </x:c>
      <x:c r="C12" s="51" t="str">
        <x:v>مطاعم وضيافة</x:v>
      </x:c>
      <x:c r="D12" s="52" t="str">
        <x:v>المذاق التركي فرع العوالي</x:v>
      </x:c>
      <x:c r="E12" s="53" t="str">
        <x:v>مطعم</x:v>
      </x:c>
      <x:c r="F12" s="51" t="str">
        <x:v>055 503 9730</x:v>
      </x:c>
      <x:c r="G12" s="51" t="str"/>
      <x:c r="H12" s="51" t="n">
        <x:v>2</x:v>
      </x:c>
      <x:c r="I12" s="51" t="n">
        <x:v>76</x:v>
      </x:c>
      <x:c r="J12" s="53" t="str">
        <x:v>تصوير ومحتوى قصير وإدارة حسابات وحملات زيارات محلية</x:v>
      </x:c>
      <x:c r="K12" s="53" t="str">
        <x:v>شارع إبراهيم الجفالي، مكة 24372</x:v>
      </x:c>
      <x:c r="L12" s="53" t="str"/>
      <x:c r="M12" s="53" t="str">
        <x:v>https://www.google.com/maps/place/%D8%A7%D9%84%D9%85%D8%B0%D8%A7%D9%82+%D8%A7%D9%84%D8%AA%D8%B1%D9%83%D9%8A+%D9%81%D8%B1%D8%B9+%D8%A7%D9%84%D8%B9%D9%88%D8%A7%D9%84%D9%8A%E2%80%AD/data=!4m7!3m6!1s0x15c20593f1eba769:0x59ab338cb7b87c95!8m2!3d21.3592218!4d39.8743495!16s%2Fg%2F11c1nhy6q8!19sChIJaafr8ZMFwhURlXy4t4wzq1k?authuser=0&amp;hl=ar&amp;rclk=1</x:v>
      </x:c>
      <x:c r="N12" s="54" t="str">
        <x:v>جديد</x:v>
      </x:c>
      <x:c r="O12" s="54" t="str"/>
      <x:c r="P12" s="54" t="str">
        <x:v>لم يتم التواصل</x:v>
      </x:c>
      <x:c r="Q12" s="54" t="str"/>
      <x:c r="R12" s="53" t="str"/>
      <x:c r="S12" s="53" t="str">
        <x:v>2026-08-10</x:v>
      </x:c>
    </x:row>
    <x:row r="13" ht="356.3999938964844" hidden="0" customHeight="1">
      <x:c r="A13" s="51" t="str">
        <x:v>MKB1-008</x:v>
      </x:c>
      <x:c r="B13" s="51" t="str">
        <x:v>العوالي</x:v>
      </x:c>
      <x:c r="C13" s="51" t="str">
        <x:v>مطاعم وضيافة</x:v>
      </x:c>
      <x:c r="D13" s="52" t="str">
        <x:v>مطعم مذاق نسمة الشام</x:v>
      </x:c>
      <x:c r="E13" s="53" t="str">
        <x:v>مطعم</x:v>
      </x:c>
      <x:c r="F13" s="51" t="str">
        <x:v>012 528 5696</x:v>
      </x:c>
      <x:c r="G13" s="51" t="str"/>
      <x:c r="H13" s="51" t="n">
        <x:v>2</x:v>
      </x:c>
      <x:c r="I13" s="51" t="n">
        <x:v>76</x:v>
      </x:c>
      <x:c r="J13" s="53" t="str">
        <x:v>تصوير ومحتوى قصير وإدارة حسابات وحملات زيارات محلية</x:v>
      </x:c>
      <x:c r="K13" s="53" t="str">
        <x:v>شارع إبراهيم الجفالي، مكة 24372</x:v>
      </x:c>
      <x:c r="L13" s="53" t="str"/>
      <x:c r="M13" s="53" t="str">
        <x:v>https://www.google.com/maps/place/%D9%85%D8%B7%D8%B9%D9%85+%D9%85%D8%B0%D8%A7%D9%82+%D9%86%D8%B3%D9%85%D8%A9+%D8%A7%D9%84%D8%B4%D8%A7%D9%85%E2%80%AD/data=!4m7!3m6!1s0x15c2054fb1ea303d:0x7ca550c2b0de0dcb!8m2!3d21.3519225!4d39.8980472!16s%2Fg%2F11rvk_wjsf!19sChIJPTDqsU8FwhURyw3esMJQpXw?authuser=0&amp;hl=ar&amp;rclk=1</x:v>
      </x:c>
      <x:c r="N13" s="54" t="str">
        <x:v>جديد</x:v>
      </x:c>
      <x:c r="O13" s="54" t="str"/>
      <x:c r="P13" s="54" t="str">
        <x:v>لم يتم التواصل</x:v>
      </x:c>
      <x:c r="Q13" s="54" t="str"/>
      <x:c r="R13" s="53" t="str"/>
      <x:c r="S13" s="53" t="str">
        <x:v>2026-08-10</x:v>
      </x:c>
    </x:row>
    <x:row r="14" ht="280.79998779296875" hidden="0" customHeight="1">
      <x:c r="A14" s="51" t="str">
        <x:v>MKB1-009</x:v>
      </x:c>
      <x:c r="B14" s="51" t="str">
        <x:v>العوالي</x:v>
      </x:c>
      <x:c r="C14" s="51" t="str">
        <x:v>مطاعم وضيافة</x:v>
      </x:c>
      <x:c r="D14" s="52" t="str">
        <x:v>ماكي هاوس</x:v>
      </x:c>
      <x:c r="E14" s="53" t="str">
        <x:v>مطعم</x:v>
      </x:c>
      <x:c r="F14" s="51" t="str">
        <x:v>9200 33371</x:v>
      </x:c>
      <x:c r="G14" s="51" t="str"/>
      <x:c r="H14" s="51" t="n">
        <x:v>2</x:v>
      </x:c>
      <x:c r="I14" s="51" t="n">
        <x:v>82</x:v>
      </x:c>
      <x:c r="J14" s="53" t="str">
        <x:v>تصوير ومحتوى قصير وإدارة حسابات وحملات زيارات محلية</x:v>
      </x:c>
      <x:c r="K14" s="53" t="str">
        <x:v>شارع إبراهيم الجفالي، مكة 24372</x:v>
      </x:c>
      <x:c r="L14" s="53" t="str">
        <x:v>https://maki.sa/</x:v>
      </x:c>
      <x:c r="M14" s="53" t="str">
        <x:v>https://www.google.com/maps/place/%D9%85%D8%A7%D9%83%D9%8A+%D9%87%D8%A7%D9%88%D8%B3%E2%80%AD/data=!4m7!3m6!1s0x15c2075d26009407:0x3dbbf6b219824407!8m2!3d21.350178!4d39.906484!16s%2Fg%2F11sssmqlzq!19sChIJB5QAJl0HwhURB0SCGbL2uz0?authuser=0&amp;hl=ar&amp;rclk=1</x:v>
      </x:c>
      <x:c r="N14" s="54" t="str">
        <x:v>جديد</x:v>
      </x:c>
      <x:c r="O14" s="54" t="str"/>
      <x:c r="P14" s="54" t="str">
        <x:v>لم يتم التواصل</x:v>
      </x:c>
      <x:c r="Q14" s="54" t="str"/>
      <x:c r="R14" s="53" t="str"/>
      <x:c r="S14" s="53" t="str">
        <x:v>2026-08-10</x:v>
      </x:c>
    </x:row>
    <x:row r="15" ht="410.3999938964844" hidden="0" customHeight="1">
      <x:c r="A15" s="51" t="str">
        <x:v>MKB1-010</x:v>
      </x:c>
      <x:c r="B15" s="51" t="str">
        <x:v>العزيزية</x:v>
      </x:c>
      <x:c r="C15" s="51" t="str">
        <x:v>خدمات مهنية ومالية</x:v>
      </x:c>
      <x:c r="D15" s="52" t="str">
        <x:v>شركة نوران لخدمات المعتمرين</x:v>
      </x:c>
      <x:c r="E15" s="53" t="str">
        <x:v>شركة أو مؤسسة</x:v>
      </x:c>
      <x:c r="F15" s="51" t="str">
        <x:v>055 507 1850</x:v>
      </x:c>
      <x:c r="G15" s="51" t="str"/>
      <x:c r="H15" s="51" t="n">
        <x:v>1</x:v>
      </x:c>
      <x:c r="I15" s="51" t="n">
        <x:v>88</x:v>
      </x:c>
      <x:c r="J15" s="53" t="str">
        <x:v>حضور رقمي مؤسسي ومحتوى ثقة وتوليد فرص</x:v>
      </x:c>
      <x:c r="K15" s="53" t="str">
        <x:v>برج الصفا الإداري، الدور الأول، مكتب رقم 83، طريق المسجد الحرام، مكة 24243</x:v>
      </x:c>
      <x:c r="L15" s="53" t="str"/>
      <x:c r="M15" s="53" t="str">
        <x:v>https://www.google.com/maps/place/%D8%B4%D8%B1%D9%83%D8%A9+%D9%86%D9%88%D8%B1%D8%A7%D9%86+%D9%84%D8%AE%D8%AF%D9%85%D8%A7%D8%AA+%D8%A7%D9%84%D9%85%D8%B9%D8%AA%D9%85%D8%B1%D9%8A%D9%86%E2%80%AD/data=!4m7!3m6!1s0x15c2047cd2a48e19:0xb2847f7de1a7f989!8m2!3d21.417782!4d39.8608854!16s%2Fg%2F11hckfnsfr!19sChIJGY6k0nwEwhURifmn4X1_hLI?authuser=0&amp;hl=ar&amp;rclk=1</x:v>
      </x:c>
      <x:c r="N15" s="54" t="str">
        <x:v>جديد</x:v>
      </x:c>
      <x:c r="O15" s="54" t="str"/>
      <x:c r="P15" s="54" t="str">
        <x:v>لم يتم التواصل</x:v>
      </x:c>
      <x:c r="Q15" s="54" t="str"/>
      <x:c r="R15" s="53" t="str"/>
      <x:c r="S15" s="53" t="str">
        <x:v>2026-08-10</x:v>
      </x:c>
    </x:row>
    <x:row r="16" ht="399.6000061035156" hidden="0" customHeight="1">
      <x:c r="A16" s="51" t="str">
        <x:v>MKB1-011</x:v>
      </x:c>
      <x:c r="B16" s="51" t="str">
        <x:v>العزيزية</x:v>
      </x:c>
      <x:c r="C16" s="51" t="str">
        <x:v>عقار ومقاولات واستثمار</x:v>
      </x:c>
      <x:c r="D16" s="52" t="str">
        <x:v>مجموعة المحيسني للمقاولات</x:v>
      </x:c>
      <x:c r="E16" s="53" t="str">
        <x:v>شركة أو مؤسسة</x:v>
      </x:c>
      <x:c r="F16" s="51" t="str">
        <x:v>012 557 0000</x:v>
      </x:c>
      <x:c r="G16" s="51" t="str"/>
      <x:c r="H16" s="51" t="n">
        <x:v>1</x:v>
      </x:c>
      <x:c r="I16" s="51" t="n">
        <x:v>88</x:v>
      </x:c>
      <x:c r="J16" s="53" t="str">
        <x:v>هوية مؤسسية ومحتوى مشاريع وحملات توليد عملاء</x:v>
      </x:c>
      <x:c r="K16" s="53" t="str">
        <x:v>المسجد القطري، العزيزية، مكة 24243</x:v>
      </x:c>
      <x:c r="L16" s="53" t="str"/>
      <x:c r="M16" s="53" t="str">
        <x:v>https://www.google.com/maps/place/%D9%85%D8%AC%D9%85%D9%88%D8%B9%D8%A9+%D8%A7%D9%84%D9%85%D8%AD%D9%8A%D8%B3%D9%86%D9%8A+%D9%84%D9%84%D9%85%D9%82%D8%A7%D9%88%D9%84%D8%A7%D8%AA%E2%80%AD/data=!4m7!3m6!1s0x15c20486245dc211:0xc7fdc3b95c99e9da!8m2!3d21.4200704!4d39.8547651!16s%2Fg%2F11bw3fd_3g!19sChIJEcJdJIYEwhUR2umZXLnD_cc?authuser=0&amp;hl=ar&amp;rclk=1</x:v>
      </x:c>
      <x:c r="N16" s="54" t="str">
        <x:v>جديد</x:v>
      </x:c>
      <x:c r="O16" s="54" t="str"/>
      <x:c r="P16" s="54" t="str">
        <x:v>لم يتم التواصل</x:v>
      </x:c>
      <x:c r="Q16" s="54" t="str"/>
      <x:c r="R16" s="53" t="str"/>
      <x:c r="S16" s="53" t="str">
        <x:v>2026-08-10</x:v>
      </x:c>
    </x:row>
    <x:row r="17" ht="518.4000244140625" hidden="0" customHeight="1">
      <x:c r="A17" s="51" t="str">
        <x:v>MKB1-012</x:v>
      </x:c>
      <x:c r="B17" s="51" t="str">
        <x:v>العزيزية</x:v>
      </x:c>
      <x:c r="C17" s="51" t="str">
        <x:v>شركة أو مؤسسة</x:v>
      </x:c>
      <x:c r="D17" s="52" t="str">
        <x:v>مجموعة علي ردة الله الصاعدي وشركاه المحدودة</x:v>
      </x:c>
      <x:c r="E17" s="53" t="str">
        <x:v>شركة أو مؤسسة</x:v>
      </x:c>
      <x:c r="F17" s="51" t="str">
        <x:v>050 453 4358</x:v>
      </x:c>
      <x:c r="G17" s="51" t="str"/>
      <x:c r="H17" s="51" t="n">
        <x:v>1</x:v>
      </x:c>
      <x:c r="I17" s="51" t="n">
        <x:v>88</x:v>
      </x:c>
      <x:c r="J17" s="53" t="str">
        <x:v>تدقيق حضور رقمي وخطة محتوى وحملات أداء</x:v>
      </x:c>
      <x:c r="K17" s="53" t="str">
        <x:v>8794، العزيزية، مكة 24243</x:v>
      </x:c>
      <x:c r="L17" s="53" t="str"/>
      <x:c r="M17" s="53" t="str">
        <x:v>https://www.google.com/maps/place/%D9%85%D8%AC%D9%85%D9%88%D8%B9%D8%A9+%D8%B9%D9%84%D9%8A+%D8%B1%D8%AF%D8%A9+%D8%A7%D9%84%D9%84%D9%87+%D8%A7%D9%84%D8%B5%D8%A7%D8%B9%D8%AF%D9%8A+%D9%88%D8%B4%D8%B1%D9%83%D8%A7%D9%87+%D8%A7%D9%84%D9%85%D8%AD%D8%AF%D9%88%D8%AF%D8%A9%E2%80%AD/data=!4m7!3m6!1s0x15c204863173759f:0xd707cb554fb5f1ec!8m2!3d21.420265!4d39.8547402!16s%2Fg%2F11c5rwv641!19sChIJn3VzMYYEwhUR7PG1T1XLB9c?authuser=0&amp;hl=ar&amp;rclk=1</x:v>
      </x:c>
      <x:c r="N17" s="54" t="str">
        <x:v>جديد</x:v>
      </x:c>
      <x:c r="O17" s="54" t="str"/>
      <x:c r="P17" s="54" t="str">
        <x:v>لم يتم التواصل</x:v>
      </x:c>
      <x:c r="Q17" s="54" t="str"/>
      <x:c r="R17" s="53" t="str"/>
      <x:c r="S17" s="53" t="str">
        <x:v>2026-08-10</x:v>
      </x:c>
    </x:row>
    <x:row r="18" ht="507.6000061035156" hidden="0" customHeight="1">
      <x:c r="A18" s="51" t="str">
        <x:v>MKB1-013</x:v>
      </x:c>
      <x:c r="B18" s="51" t="str">
        <x:v>العزيزية</x:v>
      </x:c>
      <x:c r="C18" s="51" t="str">
        <x:v>شركة أو مؤسسة</x:v>
      </x:c>
      <x:c r="D18" s="52" t="str">
        <x:v>شركة زيني علي زيني سايس وشريكه للصرافة Zainy Ali Sayis for Moneyexchange</x:v>
      </x:c>
      <x:c r="E18" s="53" t="str">
        <x:v>شركة أو مؤسسة</x:v>
      </x:c>
      <x:c r="F18" s="51" t="str">
        <x:v>800 248 0084</x:v>
      </x:c>
      <x:c r="G18" s="51" t="str"/>
      <x:c r="H18" s="51" t="n">
        <x:v>1</x:v>
      </x:c>
      <x:c r="I18" s="51" t="n">
        <x:v>88</x:v>
      </x:c>
      <x:c r="J18" s="53" t="str">
        <x:v>تدقيق حضور رقمي وخطة محتوى وحملات أداء</x:v>
      </x:c>
      <x:c r="K18" s="53" t="str">
        <x:v>حي، طريق المسجد الحرام، المرسلات، العزيزية، مكة 24243</x:v>
      </x:c>
      <x:c r="L18" s="53" t="str"/>
      <x:c r="M18" s="53" t="str">
        <x:v>https://www.google.com/maps/place/%D8%B4%D8%B1%D9%83%D8%A9+%D8%B2%D9%8A%D9%86%D9%8A+%D8%B9%D9%84%D9%8A+%D8%B2%D9%8A%D9%86%D9%8A+%D8%B3%D8%A7%D9%8A%D8%B3+%D9%88%D8%B4%D8%B1%D9%8A%D9%83%D9%87+%D9%84%D9%84%D8%B5%D8%B1%D8%A7%D9%81%D8%A9+Zainy+Ali+Sayis+for+Moneyexchange%E2%80%AD/data=!4m7!3m6!1s0x15c205c1fe0858ff:0x675bb5a726194d78!8m2!3d21.4086582!4d39.869147!16s%2Fg%2F11tjg9hd32!19sChIJ_1gI_sEFwhUReE0ZJqe1W2c?authuser=0&amp;hl=ar&amp;rclk=1</x:v>
      </x:c>
      <x:c r="N18" s="54" t="str">
        <x:v>جديد</x:v>
      </x:c>
      <x:c r="O18" s="54" t="str"/>
      <x:c r="P18" s="54" t="str">
        <x:v>لم يتم التواصل</x:v>
      </x:c>
      <x:c r="Q18" s="54" t="str"/>
      <x:c r="R18" s="53" t="str"/>
      <x:c r="S18" s="53" t="str">
        <x:v>2026-08-10</x:v>
      </x:c>
    </x:row>
    <x:row r="19" ht="356.3999938964844" hidden="0" customHeight="1">
      <x:c r="A19" s="51" t="str">
        <x:v>MKB1-014</x:v>
      </x:c>
      <x:c r="B19" s="51" t="str">
        <x:v>العزيزية</x:v>
      </x:c>
      <x:c r="C19" s="51" t="str">
        <x:v>مطاعم وضيافة</x:v>
      </x:c>
      <x:c r="D19" s="52" t="str">
        <x:v>مطعم ريدان العزيزيه</x:v>
      </x:c>
      <x:c r="E19" s="53" t="str">
        <x:v>مطعم</x:v>
      </x:c>
      <x:c r="F19" s="51" t="str"/>
      <x:c r="G19" s="51" t="str"/>
      <x:c r="H19" s="51" t="n">
        <x:v>2</x:v>
      </x:c>
      <x:c r="I19" s="51" t="n">
        <x:v>62</x:v>
      </x:c>
      <x:c r="J19" s="53" t="str">
        <x:v>تصوير ومحتوى قصير وإدارة حسابات وحملات زيارات محلية</x:v>
      </x:c>
      <x:c r="K19" s="53" t="str"/>
      <x:c r="L19" s="53" t="str"/>
      <x:c r="M19" s="53" t="str">
        <x:v>https://www.google.com/maps/place/%D9%85%D8%B7%D8%B9%D9%85+%D8%B1%D9%8A%D8%AF%D8%A7%D9%86+%D8%A7%D9%84%D8%B9%D8%B2%D9%8A%D8%B2%D9%8A%D9%87%E2%80%AD/data=!4m7!3m6!1s0x15c204644191ec97:0xeb4c3ec33ebadd33!8m2!3d21.4134497!4d39.8644851!16s%2Fg%2F1hdzwts1r!19sChIJl-yRQWQEwhURM926PsM-TOs?authuser=0&amp;hl=ar&amp;rclk=1</x:v>
      </x:c>
      <x:c r="N19" s="54" t="str">
        <x:v>جديد</x:v>
      </x:c>
      <x:c r="O19" s="54" t="str"/>
      <x:c r="P19" s="54" t="str">
        <x:v>لم يتم التواصل</x:v>
      </x:c>
      <x:c r="Q19" s="54" t="str"/>
      <x:c r="R19" s="53" t="str"/>
      <x:c r="S19" s="53" t="str">
        <x:v>2026-08-10</x:v>
      </x:c>
    </x:row>
    <x:row r="20" ht="345.6000061035156" hidden="0" customHeight="1">
      <x:c r="A20" s="51" t="str">
        <x:v>MKB1-015</x:v>
      </x:c>
      <x:c r="B20" s="51" t="str">
        <x:v>العزيزية</x:v>
      </x:c>
      <x:c r="C20" s="51" t="str">
        <x:v>مطاعم وضيافة</x:v>
      </x:c>
      <x:c r="D20" s="52" t="str">
        <x:v>مطعم صاحبة السعادة</x:v>
      </x:c>
      <x:c r="E20" s="53" t="str">
        <x:v>مطعم</x:v>
      </x:c>
      <x:c r="F20" s="51" t="str">
        <x:v>050 608 0051</x:v>
      </x:c>
      <x:c r="G20" s="51" t="str"/>
      <x:c r="H20" s="51" t="n">
        <x:v>2</x:v>
      </x:c>
      <x:c r="I20" s="51" t="n">
        <x:v>76</x:v>
      </x:c>
      <x:c r="J20" s="53" t="str">
        <x:v>تصوير ومحتوى قصير وإدارة حسابات وحملات زيارات محلية</x:v>
      </x:c>
      <x:c r="K20" s="53" t="str">
        <x:v>بجوار مسجد فقية، حى العزيزية، مكة 24243</x:v>
      </x:c>
      <x:c r="L20" s="53" t="str"/>
      <x:c r="M20" s="53" t="str">
        <x:v>https://www.google.com/maps/place/%D9%85%D8%B7%D8%B9%D9%85+%D8%B5%D8%A7%D8%AD%D8%A8%D8%A9+%D8%A7%D9%84%D8%B3%D8%B9%D8%A7%D8%AF%D8%A9%E2%80%AD/data=!4m7!3m6!1s0x15c20500407248e3:0xec8ec62b2e4985db!8m2!3d21.412299!4d39.8646724!16s%2Fg%2F11n4xpb1m4!19sChIJ40hyQAAFwhUR24VJLivGjuw?authuser=0&amp;hl=ar&amp;rclk=1</x:v>
      </x:c>
      <x:c r="N20" s="54" t="str">
        <x:v>جديد</x:v>
      </x:c>
      <x:c r="O20" s="54" t="str"/>
      <x:c r="P20" s="54" t="str">
        <x:v>لم يتم التواصل</x:v>
      </x:c>
      <x:c r="Q20" s="54" t="str"/>
      <x:c r="R20" s="53" t="str"/>
      <x:c r="S20" s="53" t="str">
        <x:v>2026-08-10</x:v>
      </x:c>
    </x:row>
    <x:row r="21" ht="324" hidden="0" customHeight="1">
      <x:c r="A21" s="51" t="str">
        <x:v>MKB1-016</x:v>
      </x:c>
      <x:c r="B21" s="51" t="str">
        <x:v>العزيزية</x:v>
      </x:c>
      <x:c r="C21" s="51" t="str">
        <x:v>مطاعم وضيافة</x:v>
      </x:c>
      <x:c r="D21" s="52" t="str">
        <x:v>بن عفيف العزيزية</x:v>
      </x:c>
      <x:c r="E21" s="53" t="str">
        <x:v>مطعم</x:v>
      </x:c>
      <x:c r="F21" s="51" t="str">
        <x:v>050 093 7888</x:v>
      </x:c>
      <x:c r="G21" s="51" t="str"/>
      <x:c r="H21" s="51" t="n">
        <x:v>2</x:v>
      </x:c>
      <x:c r="I21" s="51" t="n">
        <x:v>76</x:v>
      </x:c>
      <x:c r="J21" s="53" t="str">
        <x:v>تصوير ومحتوى قصير وإدارة حسابات وحملات زيارات محلية</x:v>
      </x:c>
      <x:c r="K21" s="53" t="str">
        <x:v>8436 مسجد الشيخ ابن باز، 2839، طريق المسجد الحرام، مكة 24243</x:v>
      </x:c>
      <x:c r="L21" s="53" t="str"/>
      <x:c r="M21" s="53" t="str">
        <x:v>https://www.google.com/maps/place/%D8%A8%D9%86+%D8%B9%D9%81%D9%8A%D9%81+%D8%A7%D9%84%D8%B9%D8%B2%D9%8A%D8%B2%D9%8A%D8%A9%E2%80%AD/data=!4m7!3m6!1s0x15c204631ff6b155:0x3fc9a139a69beefd!8m2!3d21.4169278!4d39.8602961!16s%2Fg%2F11bzz3ftcp!19sChIJVbH2H2MEwhUR_e6bpjmhyT8?authuser=0&amp;hl=ar&amp;rclk=1</x:v>
      </x:c>
      <x:c r="N21" s="54" t="str">
        <x:v>جديد</x:v>
      </x:c>
      <x:c r="O21" s="54" t="str"/>
      <x:c r="P21" s="54" t="str">
        <x:v>لم يتم التواصل</x:v>
      </x:c>
      <x:c r="Q21" s="54" t="str"/>
      <x:c r="R21" s="53" t="str"/>
      <x:c r="S21" s="53" t="str">
        <x:v>2026-08-10</x:v>
      </x:c>
    </x:row>
    <x:row r="22" ht="324" hidden="0" customHeight="1">
      <x:c r="A22" s="51" t="str">
        <x:v>MKB1-017</x:v>
      </x:c>
      <x:c r="B22" s="51" t="str">
        <x:v>العزيزية</x:v>
      </x:c>
      <x:c r="C22" s="51" t="str">
        <x:v>مطاعم وضيافة</x:v>
      </x:c>
      <x:c r="D22" s="52" t="str">
        <x:v>مطعم الرومانسية</x:v>
      </x:c>
      <x:c r="E22" s="53" t="str">
        <x:v>مطعم</x:v>
      </x:c>
      <x:c r="F22" s="51" t="str">
        <x:v>9200 00144</x:v>
      </x:c>
      <x:c r="G22" s="51" t="str"/>
      <x:c r="H22" s="51" t="n">
        <x:v>2</x:v>
      </x:c>
      <x:c r="I22" s="51" t="n">
        <x:v>82</x:v>
      </x:c>
      <x:c r="J22" s="53" t="str">
        <x:v>تصوير ومحتوى قصير وإدارة حسابات وحملات زيارات محلية</x:v>
      </x:c>
      <x:c r="K22" s="53" t="str">
        <x:v>طریق المسجد الحرام، المرسلات، مكة 24247</x:v>
      </x:c>
      <x:c r="L22" s="53" t="str">
        <x:v>http://www.alromansiah.com/</x:v>
      </x:c>
      <x:c r="M22" s="53" t="str">
        <x:v>https://www.google.com/maps/place/%D9%85%D8%B7%D8%B9%D9%85+%D8%A7%D9%84%D8%B1%D9%88%D9%85%D8%A7%D9%86%D8%B3%D9%8A%D8%A9%E2%80%AD/data=!4m7!3m6!1s0x15c2051cd841a679:0x36d980c9b2e42435!8m2!3d21.400914!4d39.880772!16s%2Fg%2F11q1trvx43!19sChIJeaZB2BwFwhURNSTkssmA2TY?authuser=0&amp;hl=ar&amp;rclk=1</x:v>
      </x:c>
      <x:c r="N22" s="54" t="str">
        <x:v>جديد</x:v>
      </x:c>
      <x:c r="O22" s="54" t="str"/>
      <x:c r="P22" s="54" t="str">
        <x:v>لم يتم التواصل</x:v>
      </x:c>
      <x:c r="Q22" s="54" t="str"/>
      <x:c r="R22" s="53" t="str"/>
      <x:c r="S22" s="53" t="str">
        <x:v>2026-08-10</x:v>
      </x:c>
    </x:row>
    <x:row r="23" ht="486" hidden="0" customHeight="1">
      <x:c r="A23" s="51" t="str">
        <x:v>MKB1-018</x:v>
      </x:c>
      <x:c r="B23" s="51" t="str">
        <x:v>الشوقية</x:v>
      </x:c>
      <x:c r="C23" s="51" t="str">
        <x:v>عقار ومقاولات واستثمار</x:v>
      </x:c>
      <x:c r="D23" s="52" t="str">
        <x:v>مؤسسة سارة القحطاني العقارية المحدودة</x:v>
      </x:c>
      <x:c r="E23" s="53" t="str">
        <x:v>شركة أو مؤسسة</x:v>
      </x:c>
      <x:c r="F23" s="51" t="str">
        <x:v>053 335 2829</x:v>
      </x:c>
      <x:c r="G23" s="51" t="str"/>
      <x:c r="H23" s="51" t="n">
        <x:v>1</x:v>
      </x:c>
      <x:c r="I23" s="51" t="n">
        <x:v>95</x:v>
      </x:c>
      <x:c r="J23" s="53" t="str">
        <x:v>هوية مؤسسية ومحتوى مشاريع وحملات توليد عملاء</x:v>
      </x:c>
      <x:c r="K23" s="53" t="str">
        <x:v>شارع الدكتور عبدالقادر كوشك، الشوقية، مكة 24351</x:v>
      </x:c>
      <x:c r="L23" s="53" t="str">
        <x:v>https://isql.sa/</x:v>
      </x:c>
      <x:c r="M23" s="53" t="str">
        <x:v>https://www.google.com/maps/place/%D9%85%D8%A4%D8%B3%D8%B3%D8%A9+%D8%B3%D8%A7%D8%B1%D8%A9+%D8%A7%D9%84%D9%82%D8%AD%D8%B7%D8%A7%D9%86%D9%8A+%D8%A7%D9%84%D8%B9%D9%82%D8%A7%D8%B1%D9%8A%D8%A9+%D8%A7%D9%84%D9%85%D8%AD%D8%AF%D9%88%D8%AF%D8%A9%E2%80%AD/data=!4m7!3m6!1s0x15c21b1aea87ef31:0xb7845c72e32bd6eb!8m2!3d21.3767743!4d39.7917035!16s%2Fg%2F11vys2vt4v!19sChIJMe-H6hobwhUR69Yr43JchLc?authuser=0&amp;hl=ar&amp;rclk=1</x:v>
      </x:c>
      <x:c r="N23" s="54" t="str">
        <x:v>جديد</x:v>
      </x:c>
      <x:c r="O23" s="54" t="str"/>
      <x:c r="P23" s="54" t="str">
        <x:v>لم يتم التواصل</x:v>
      </x:c>
      <x:c r="Q23" s="54" t="str"/>
      <x:c r="R23" s="53" t="str"/>
      <x:c r="S23" s="53" t="str">
        <x:v>2026-08-10</x:v>
      </x:c>
    </x:row>
    <x:row r="24" ht="615.5999755859375" hidden="0" customHeight="1">
      <x:c r="A24" s="51" t="str">
        <x:v>MKB1-019</x:v>
      </x:c>
      <x:c r="B24" s="51" t="str">
        <x:v>الشوقية</x:v>
      </x:c>
      <x:c r="C24" s="51" t="str">
        <x:v>عقار ومقاولات واستثمار</x:v>
      </x:c>
      <x:c r="D24" s="52" t="str">
        <x:v>المشروع الأول ل( المسكن الواسع للتمليك ) مؤسسة/حسني حلواني</x:v>
      </x:c>
      <x:c r="E24" s="53" t="str">
        <x:v>شركة أو مؤسسة</x:v>
      </x:c>
      <x:c r="F24" s="51" t="str">
        <x:v>050 766 6177</x:v>
      </x:c>
      <x:c r="G24" s="51" t="str"/>
      <x:c r="H24" s="51" t="n">
        <x:v>1</x:v>
      </x:c>
      <x:c r="I24" s="51" t="n">
        <x:v>88</x:v>
      </x:c>
      <x:c r="J24" s="53" t="str">
        <x:v>هوية مؤسسية ومحتوى مشاريع وحملات توليد عملاء</x:v>
      </x:c>
      <x:c r="K24" s="53" t="str">
        <x:v>حي درة السبهاني نهاية ممشى الشوقية 24353</x:v>
      </x:c>
      <x:c r="L24" s="53" t="str"/>
      <x:c r="M24" s="53" t="str">
        <x:v>https://www.google.com/maps/place/%D8%A7%D9%84%D9%85%D8%B4%D8%B1%D9%88%D8%B9+%D8%A7%D9%84%D8%A3%D9%88%D9%84+%D9%84%28+%D8%A7%D9%84%D9%85%D8%B3%D9%83%D9%86+%D8%A7%D9%84%D9%88%D8%A7%D8%B3%D8%B9+%D9%84%D9%84%D8%AA%D9%85%D9%84%D9%8A%D9%83+%29+%D9%85%D8%A4%D8%B3%D8%B3%D8%A9%2F%D8%AD%D8%B3%D9%86%D9%8A+%D8%AD%D9%84%D9%88%D8%A7%D9%86%D9%8A%E2%80%AD/data=!4m7!3m6!1s0x15c211e84a8c10ed:0x876fd21bb38d0bd2!8m2!3d21.3645214!4d39.7870912!16s%2Fg%2F11f62tr0dj!19sChIJ7RCMSugRwhUR0guNsxvSb4c?authuser=0&amp;hl=ar&amp;rclk=1</x:v>
      </x:c>
      <x:c r="N24" s="54" t="str">
        <x:v>جديد</x:v>
      </x:c>
      <x:c r="O24" s="54" t="str"/>
      <x:c r="P24" s="54" t="str">
        <x:v>لم يتم التواصل</x:v>
      </x:c>
      <x:c r="Q24" s="54" t="str"/>
      <x:c r="R24" s="53" t="str"/>
      <x:c r="S24" s="53" t="str">
        <x:v>2026-08-10</x:v>
      </x:c>
    </x:row>
    <x:row r="25" ht="399.6000061035156" hidden="0" customHeight="1">
      <x:c r="A25" s="51" t="str">
        <x:v>MKB1-020</x:v>
      </x:c>
      <x:c r="B25" s="51" t="str">
        <x:v>الشوقية</x:v>
      </x:c>
      <x:c r="C25" s="51" t="str">
        <x:v>شركة أو مؤسسة</x:v>
      </x:c>
      <x:c r="D25" s="52" t="str">
        <x:v>شركة أركان التألق المحدودة</x:v>
      </x:c>
      <x:c r="E25" s="53" t="str">
        <x:v>شركة أو مؤسسة</x:v>
      </x:c>
      <x:c r="F25" s="51" t="str">
        <x:v>055 172 9814</x:v>
      </x:c>
      <x:c r="G25" s="51" t="str"/>
      <x:c r="H25" s="51" t="n">
        <x:v>1</x:v>
      </x:c>
      <x:c r="I25" s="51" t="n">
        <x:v>95</x:v>
      </x:c>
      <x:c r="J25" s="53" t="str">
        <x:v>تدقيق حضور رقمي وخطة محتوى وحملات أداء</x:v>
      </x:c>
      <x:c r="K25" s="53" t="str">
        <x:v>شارع الأمير ناصر بن عبدالعزيز آل سعود، حي الشوقية، مكة 24353</x:v>
      </x:c>
      <x:c r="L25" s="53" t="str">
        <x:v>https://arkanaltaaloq.com/</x:v>
      </x:c>
      <x:c r="M25" s="53" t="str">
        <x:v>https://www.google.com/maps/place/%D8%B4%D8%B1%D9%83%D8%A9+%D8%A3%D8%B1%D9%83%D8%A7%D9%86+%D8%A7%D9%84%D8%AA%D8%A3%D9%84%D9%82+%D8%A7%D9%84%D9%85%D8%AD%D8%AF%D9%88%D8%AF%D8%A9%E2%80%AD/data=!4m7!3m6!1s0x15c21b0fdcffb169:0xe64c3e47b8d15744!8m2!3d21.3816084!4d39.7728955!16s%2Fg%2F11llc_fjbz!19sChIJabH_3A8bwhURRFfRuEc-TOY?authuser=0&amp;hl=ar&amp;rclk=1</x:v>
      </x:c>
      <x:c r="N25" s="54" t="str">
        <x:v>جديد</x:v>
      </x:c>
      <x:c r="O25" s="54" t="str"/>
      <x:c r="P25" s="54" t="str">
        <x:v>لم يتم التواصل</x:v>
      </x:c>
      <x:c r="Q25" s="54" t="str"/>
      <x:c r="R25" s="53" t="str"/>
      <x:c r="S25" s="53" t="str">
        <x:v>2026-08-10</x:v>
      </x:c>
    </x:row>
    <x:row r="26" ht="334.79998779296875" hidden="0" customHeight="1">
      <x:c r="A26" s="51" t="str">
        <x:v>MKB1-021</x:v>
      </x:c>
      <x:c r="B26" s="51" t="str">
        <x:v>الشوقية</x:v>
      </x:c>
      <x:c r="C26" s="51" t="str">
        <x:v>شركة أو مؤسسة</x:v>
      </x:c>
      <x:c r="D26" s="52" t="str">
        <x:v>شركة داما المتحدة</x:v>
      </x:c>
      <x:c r="E26" s="53" t="str">
        <x:v>شركة أو مؤسسة</x:v>
      </x:c>
      <x:c r="F26" s="51" t="str">
        <x:v>055 540 8911</x:v>
      </x:c>
      <x:c r="G26" s="51" t="str"/>
      <x:c r="H26" s="51" t="n">
        <x:v>1</x:v>
      </x:c>
      <x:c r="I26" s="51" t="n">
        <x:v>95</x:v>
      </x:c>
      <x:c r="J26" s="53" t="str">
        <x:v>تدقيق حضور رقمي وخطة محتوى وحملات أداء</x:v>
      </x:c>
      <x:c r="K26" s="53" t="str">
        <x:v>شارع عقبه بن عامر رضي الله عنه، مكة 21955</x:v>
      </x:c>
      <x:c r="L26" s="53" t="str">
        <x:v>http://www.dama_u.com/</x:v>
      </x:c>
      <x:c r="M26" s="53" t="str">
        <x:v>https://www.google.com/maps/place/%D8%B4%D8%B1%D9%83%D8%A9+%D8%AF%D8%A7%D9%85%D8%A7+%D8%A7%D9%84%D9%85%D8%AA%D8%AD%D8%AF%D8%A9%E2%80%AD/data=!4m7!3m6!1s0x15c21b9d678b4a51:0x68218f4cc00848ba!8m2!3d21.3967869!4d39.7898389!16s%2Fg%2F11s4wmfwj2!19sChIJUUqLZ50bwhURukgIwEyPIWg?authuser=0&amp;hl=ar&amp;rclk=1</x:v>
      </x:c>
      <x:c r="N26" s="54" t="str">
        <x:v>جديد</x:v>
      </x:c>
      <x:c r="O26" s="54" t="str"/>
      <x:c r="P26" s="54" t="str">
        <x:v>لم يتم التواصل</x:v>
      </x:c>
      <x:c r="Q26" s="54" t="str"/>
      <x:c r="R26" s="53" t="str"/>
      <x:c r="S26" s="53" t="str">
        <x:v>2026-08-10</x:v>
      </x:c>
    </x:row>
    <x:row r="27" ht="226.8000030517578" hidden="0" customHeight="1">
      <x:c r="A27" s="51" t="str">
        <x:v>MKB1-022</x:v>
      </x:c>
      <x:c r="B27" s="51" t="str">
        <x:v>الشوقية</x:v>
      </x:c>
      <x:c r="C27" s="51" t="str">
        <x:v>مطاعم وضيافة</x:v>
      </x:c>
      <x:c r="D27" s="52" t="str">
        <x:v>Jameel's BBQ &amp; GRILL</x:v>
      </x:c>
      <x:c r="E27" s="53" t="str">
        <x:v>مطعم</x:v>
      </x:c>
      <x:c r="F27" s="51" t="str">
        <x:v>056 601 0033</x:v>
      </x:c>
      <x:c r="G27" s="51" t="str"/>
      <x:c r="H27" s="51" t="n">
        <x:v>2</x:v>
      </x:c>
      <x:c r="I27" s="51" t="n">
        <x:v>82</x:v>
      </x:c>
      <x:c r="J27" s="53" t="str">
        <x:v>تصوير ومحتوى قصير وإدارة حسابات وحملات زيارات محلية</x:v>
      </x:c>
      <x:c r="K27" s="53" t="str">
        <x:v>Near حلويات اصاله, 4190 زيد بن اسيد بن حارثة, حي الشوقية, MDBS6813, مكة 24351</x:v>
      </x:c>
      <x:c r="L27" s="53" t="str">
        <x:v>https://menu-booking.mrprandco.com/en/jameels-bbq-and-grill/eayc-unlimited-buffet</x:v>
      </x:c>
      <x:c r="M27" s="53" t="str">
        <x:v>https://www.google.com/maps/place/Jameel%27s+BBQ+%26+GRILL/data=!4m7!3m6!1s0x15c21b3de83596e3:0x57bd36a80f711892!8m2!3d21.3781033!4d39.8036328!16s%2Fg%2F11z02w63ns!19sChIJ45Y16D0bwhURkhhxD6g2vVc?authuser=0&amp;hl=ar&amp;rclk=1</x:v>
      </x:c>
      <x:c r="N27" s="54" t="str">
        <x:v>جديد</x:v>
      </x:c>
      <x:c r="O27" s="54" t="str"/>
      <x:c r="P27" s="54" t="str">
        <x:v>لم يتم التواصل</x:v>
      </x:c>
      <x:c r="Q27" s="54" t="str"/>
      <x:c r="R27" s="53" t="str"/>
      <x:c r="S27" s="53" t="str">
        <x:v>2026-08-10</x:v>
      </x:c>
    </x:row>
    <x:row r="28" ht="302.3999938964844" hidden="0" customHeight="1">
      <x:c r="A28" s="51" t="str">
        <x:v>MKB1-023</x:v>
      </x:c>
      <x:c r="B28" s="51" t="str">
        <x:v>الشوقية</x:v>
      </x:c>
      <x:c r="C28" s="51" t="str">
        <x:v>مطاعم وضيافة</x:v>
      </x:c>
      <x:c r="D28" s="52" t="str">
        <x:v>تكوة لاونج Takwah Lounge</x:v>
      </x:c>
      <x:c r="E28" s="53" t="str">
        <x:v>مطعم</x:v>
      </x:c>
      <x:c r="F28" s="51" t="str">
        <x:v>055 557 8078</x:v>
      </x:c>
      <x:c r="G28" s="51" t="str"/>
      <x:c r="H28" s="51" t="n">
        <x:v>2</x:v>
      </x:c>
      <x:c r="I28" s="51" t="n">
        <x:v>76</x:v>
      </x:c>
      <x:c r="J28" s="53" t="str">
        <x:v>تصوير ومحتوى قصير وإدارة حسابات وحملات زيارات محلية</x:v>
      </x:c>
      <x:c r="K28" s="53" t="str">
        <x:v>7795، الشوقية، مكة 24351 2377،</x:v>
      </x:c>
      <x:c r="L28" s="53" t="str"/>
      <x:c r="M28" s="53" t="str">
        <x:v>https://www.google.com/maps/place/%D8%AA%D9%83%D9%88%D8%A9+%D9%84%D8%A7%D9%88%D9%86%D8%AC+Takwah+Lounge%E2%80%AD/data=!4m7!3m6!1s0x15c21b637ae77dbd:0xa9a78b5baf77fc12!8m2!3d21.3869283!4d39.7871404!16s%2Fg%2F11fnn81h92!19sChIJvX3nemMbwhUREvx3r1uLp6k?authuser=0&amp;hl=ar&amp;rclk=1</x:v>
      </x:c>
      <x:c r="N28" s="54" t="str">
        <x:v>جديد</x:v>
      </x:c>
      <x:c r="O28" s="54" t="str"/>
      <x:c r="P28" s="54" t="str">
        <x:v>لم يتم التواصل</x:v>
      </x:c>
      <x:c r="Q28" s="54" t="str"/>
      <x:c r="R28" s="53" t="str"/>
      <x:c r="S28" s="53" t="str">
        <x:v>2026-08-10</x:v>
      </x:c>
    </x:row>
    <x:row r="29" ht="388.79998779296875" hidden="0" customHeight="1">
      <x:c r="A29" s="51" t="str">
        <x:v>MKB1-024</x:v>
      </x:c>
      <x:c r="B29" s="51" t="str">
        <x:v>الشوقية</x:v>
      </x:c>
      <x:c r="C29" s="51" t="str">
        <x:v>مطاعم وضيافة</x:v>
      </x:c>
      <x:c r="D29" s="52" t="str">
        <x:v>مطعم وكافية صبوح الجزيرة</x:v>
      </x:c>
      <x:c r="E29" s="53" t="str">
        <x:v>مطعم</x:v>
      </x:c>
      <x:c r="F29" s="51" t="str">
        <x:v>054 137 5856</x:v>
      </x:c>
      <x:c r="G29" s="51" t="str"/>
      <x:c r="H29" s="51" t="n">
        <x:v>2</x:v>
      </x:c>
      <x:c r="I29" s="51" t="n">
        <x:v>82</x:v>
      </x:c>
      <x:c r="J29" s="53" t="str">
        <x:v>تصوير ومحتوى قصير وإدارة حسابات وحملات زيارات محلية</x:v>
      </x:c>
      <x:c r="K29" s="53" t="str">
        <x:v>الممشي الجديد، أم المؤمنين زينب الهلالية رضي الله عنها، مكة 24351</x:v>
      </x:c>
      <x:c r="L29" s="53" t="str">
        <x:v>https://linktr.ee/sbohjzeraa</x:v>
      </x:c>
      <x:c r="M29" s="53" t="str">
        <x:v>https://www.google.com/maps/place/%D9%85%D8%B7%D8%B9%D9%85+%D9%88%D9%83%D8%A7%D9%81%D9%8A%D8%A9+%D8%B5%D8%A8%D9%88%D8%AD+%D8%A7%D9%84%D8%AC%D8%B2%D9%8A%D8%B1%D8%A9%E2%80%AD/data=!4m7!3m6!1s0x15c21b5b6b782e79:0x3ddf5b656cdbc274!8m2!3d21.3791088!4d39.7929587!16s%2Fg%2F11stz4r3ms!19sChIJeS54a1sbwhURdMLbbGVb3z0?authuser=0&amp;hl=ar&amp;rclk=1</x:v>
      </x:c>
      <x:c r="N29" s="54" t="str">
        <x:v>جديد</x:v>
      </x:c>
      <x:c r="O29" s="54" t="str"/>
      <x:c r="P29" s="54" t="str">
        <x:v>لم يتم التواصل</x:v>
      </x:c>
      <x:c r="Q29" s="54" t="str"/>
      <x:c r="R29" s="53" t="str"/>
      <x:c r="S29" s="53" t="str">
        <x:v>2026-08-10</x:v>
      </x:c>
    </x:row>
    <x:row r="30" ht="367.20001220703125" hidden="0" customHeight="1">
      <x:c r="A30" s="51" t="str">
        <x:v>MKB1-025</x:v>
      </x:c>
      <x:c r="B30" s="51" t="str">
        <x:v>الشوقية</x:v>
      </x:c>
      <x:c r="C30" s="51" t="str">
        <x:v>مطاعم وضيافة</x:v>
      </x:c>
      <x:c r="D30" s="52" t="str">
        <x:v>مطاعم المضياف العربي</x:v>
      </x:c>
      <x:c r="E30" s="53" t="str">
        <x:v>مطعم</x:v>
      </x:c>
      <x:c r="F30" s="51" t="str">
        <x:v>9200 11618</x:v>
      </x:c>
      <x:c r="G30" s="51" t="str"/>
      <x:c r="H30" s="51" t="n">
        <x:v>2</x:v>
      </x:c>
      <x:c r="I30" s="51" t="n">
        <x:v>82</x:v>
      </x:c>
      <x:c r="J30" s="53" t="str">
        <x:v>تصوير ومحتوى قصير وإدارة حسابات وحملات زيارات محلية</x:v>
      </x:c>
      <x:c r="K30" s="53" t="str">
        <x:v>الشوقية، مكة 24351</x:v>
      </x:c>
      <x:c r="L30" s="53" t="str">
        <x:v>https://almedheaf.com/</x:v>
      </x:c>
      <x:c r="M30" s="53" t="str">
        <x:v>https://www.google.com/maps/place/%D9%85%D8%B7%D8%A7%D8%B9%D9%85+%D8%A7%D9%84%D9%85%D8%B6%D9%8A%D8%A7%D9%81+%D8%A7%D9%84%D8%B9%D8%B1%D8%A8%D9%8A%E2%80%AD/data=!4m7!3m6!1s0x15c21b3a2d3bc7ab:0x35b2802031100757!8m2!3d21.3759713!4d39.7975254!16s%2Fg%2F11q7drvzvf!19sChIJq8c7LTobwhURVwcQMSCAsjU?authuser=0&amp;hl=ar&amp;rclk=1</x:v>
      </x:c>
      <x:c r="N30" s="54" t="str">
        <x:v>جديد</x:v>
      </x:c>
      <x:c r="O30" s="54" t="str"/>
      <x:c r="P30" s="54" t="str">
        <x:v>لم يتم التواصل</x:v>
      </x:c>
      <x:c r="Q30" s="54" t="str"/>
      <x:c r="R30" s="53" t="str"/>
      <x:c r="S30" s="53" t="str">
        <x:v>2026-08-10</x:v>
      </x:c>
    </x:row>
    <x:row r="31" ht="378" hidden="0" customHeight="1">
      <x:c r="A31" s="51" t="str">
        <x:v>MKB1-026</x:v>
      </x:c>
      <x:c r="B31" s="51" t="str">
        <x:v>الشوقية</x:v>
      </x:c>
      <x:c r="C31" s="51" t="str">
        <x:v>مطاعم وضيافة</x:v>
      </x:c>
      <x:c r="D31" s="52" t="str">
        <x:v>اسكندر كباب فرع الشوقية</x:v>
      </x:c>
      <x:c r="E31" s="53" t="str">
        <x:v>مطعم</x:v>
      </x:c>
      <x:c r="F31" s="51" t="str">
        <x:v>056 565 0502</x:v>
      </x:c>
      <x:c r="G31" s="51" t="str"/>
      <x:c r="H31" s="51" t="n">
        <x:v>2</x:v>
      </x:c>
      <x:c r="I31" s="51" t="n">
        <x:v>82</x:v>
      </x:c>
      <x:c r="J31" s="53" t="str">
        <x:v>تصوير ومحتوى قصير وإدارة حسابات وحملات زيارات محلية</x:v>
      </x:c>
      <x:c r="K31" s="53" t="str">
        <x:v>شارع الشيخ محمد بن جبير، الشوقية، مكة 24351</x:v>
      </x:c>
      <x:c r="L31" s="53" t="str">
        <x:v>https://iskenderkebab.sa/</x:v>
      </x:c>
      <x:c r="M31" s="53" t="str">
        <x:v>https://www.google.com/maps/place/%D8%A7%D8%B3%D9%83%D9%86%D8%AF%D8%B1+%D9%83%D8%A8%D8%A7%D8%A8+%D9%81%D8%B1%D8%B9+%D8%A7%D9%84%D8%B4%D9%88%D9%82%D9%8A%D8%A9%E2%80%AD/data=!4m7!3m6!1s0x15c21a905cba77a1:0xf94492b243805a7d!8m2!3d21.3814103!4d39.7877732!16s%2Fg%2F1pyqvxx76!19sChIJoXe6XJAawhURfVqAQ7KSRPk?authuser=0&amp;hl=ar&amp;rclk=1</x:v>
      </x:c>
      <x:c r="N31" s="54" t="str">
        <x:v>جديد</x:v>
      </x:c>
      <x:c r="O31" s="54" t="str"/>
      <x:c r="P31" s="54" t="str">
        <x:v>لم يتم التواصل</x:v>
      </x:c>
      <x:c r="Q31" s="54" t="str"/>
      <x:c r="R31" s="53" t="str"/>
      <x:c r="S31" s="53" t="str">
        <x:v>2026-08-10</x:v>
      </x:c>
    </x:row>
    <x:row r="32" ht="572.4000244140625" hidden="0" customHeight="1">
      <x:c r="A32" s="51" t="str">
        <x:v>MKB1-027</x:v>
      </x:c>
      <x:c r="B32" s="51" t="str">
        <x:v>النسيم</x:v>
      </x:c>
      <x:c r="C32" s="51" t="str">
        <x:v>تقنية وتجارة متخصصة</x:v>
      </x:c>
      <x:c r="D32" s="52" t="str">
        <x:v>شركة كهرباء الغربية للتجارة المحدودة - مستودع الجملة</x:v>
      </x:c>
      <x:c r="E32" s="53" t="str">
        <x:v>شركة أو مؤسسة</x:v>
      </x:c>
      <x:c r="F32" s="51" t="str">
        <x:v>9200 29240</x:v>
      </x:c>
      <x:c r="G32" s="51" t="str">
        <x:v>info@westernelc.com</x:v>
      </x:c>
      <x:c r="H32" s="51" t="n">
        <x:v>1</x:v>
      </x:c>
      <x:c r="I32" s="51" t="n">
        <x:v>95</x:v>
      </x:c>
      <x:c r="J32" s="53" t="str">
        <x:v>محتوى B2B وكتالوج رقمي وحملات أداء</x:v>
      </x:c>
      <x:c r="K32" s="53" t="str">
        <x:v>مقابل مستشفى النور، الطريق الدائري الثالث، حي النسيم، مكة 24242</x:v>
      </x:c>
      <x:c r="L32" s="53" t="str">
        <x:v>http://www.westernelc.com/</x:v>
      </x:c>
      <x:c r="M32" s="53" t="str">
        <x:v>https://www.google.com/maps/place/%D8%B4%D8%B1%D9%83%D8%A9+%D9%83%D9%87%D8%B1%D8%A8%D8%A7%D8%A1+%D8%A7%D9%84%D8%BA%D8%B1%D8%A8%D9%8A%D8%A9+%D9%84%D9%84%D8%AA%D8%AC%D8%A7%D8%B1%D8%A9+%D8%A7%D9%84%D9%85%D8%AD%D8%AF%D9%88%D8%AF%D8%A9+-+%D9%85%D8%B3%D8%AA%D9%88%D8%AF%D8%B9+%D8%A7%D9%84%D8%AC%D9%85%D9%84%D8%A9%E2%80%AD/data=!4m7!3m6!1s0x15c20590c81bf575:0x27b3bfc19b571a19!8m2!3d21.387211!4d39.8625947!16s%2Fg%2F11hdz5b5qg!19sChIJdfUbyJAFwhURGRpXm8G_syc?authuser=0&amp;hl=ar&amp;rclk=1</x:v>
      </x:c>
      <x:c r="N32" s="54" t="str">
        <x:v>جديد</x:v>
      </x:c>
      <x:c r="O32" s="54" t="str"/>
      <x:c r="P32" s="54" t="str">
        <x:v>لم يتم التواصل</x:v>
      </x:c>
      <x:c r="Q32" s="54" t="str"/>
      <x:c r="R32" s="53" t="str"/>
      <x:c r="S32" s="53" t="str">
        <x:v>2026-08-10</x:v>
      </x:c>
    </x:row>
    <x:row r="33" ht="399.6000061035156" hidden="0" customHeight="1">
      <x:c r="A33" s="51" t="str">
        <x:v>MKB1-028</x:v>
      </x:c>
      <x:c r="B33" s="51" t="str">
        <x:v>النسيم</x:v>
      </x:c>
      <x:c r="C33" s="51" t="str">
        <x:v>عقار ومقاولات واستثمار</x:v>
      </x:c>
      <x:c r="D33" s="52" t="str">
        <x:v>شركة جوهرة ذي يزن للمقاولات</x:v>
      </x:c>
      <x:c r="E33" s="53" t="str">
        <x:v>شركة أو مؤسسة</x:v>
      </x:c>
      <x:c r="F33" s="51" t="str"/>
      <x:c r="G33" s="51" t="str"/>
      <x:c r="H33" s="51" t="n">
        <x:v>1</x:v>
      </x:c>
      <x:c r="I33" s="51" t="n">
        <x:v>70</x:v>
      </x:c>
      <x:c r="J33" s="53" t="str">
        <x:v>هوية مؤسسية ومحتوى مشاريع وحملات توليد عملاء</x:v>
      </x:c>
      <x:c r="K33" s="53" t="str">
        <x:v>حي النسيم بجوار كتابة عدل الثانية، مكة</x:v>
      </x:c>
      <x:c r="L33" s="53" t="str"/>
      <x:c r="M33" s="53" t="str">
        <x:v>https://www.google.com/maps/place/%D8%B4%D8%B1%D9%83%D8%A9+%D8%AC%D9%88%D9%87%D8%B1%D8%A9+%D8%B0%D9%8A+%D9%8A%D8%B2%D9%86+%D9%84%D9%84%D9%85%D9%82%D8%A7%D9%88%D9%84%D8%A7%D8%AA%E2%80%AD/data=!4m7!3m6!1s0x15c205adba6559ab:0x5f66145cb998d0fc!8m2!3d21.3689398!4d39.8797668!16s%2Fg%2F1tkhfcv6!19sChIJq1lluq0FwhUR_NCYuVwUZl8?authuser=0&amp;hl=ar&amp;rclk=1</x:v>
      </x:c>
      <x:c r="N33" s="54" t="str">
        <x:v>جديد</x:v>
      </x:c>
      <x:c r="O33" s="54" t="str"/>
      <x:c r="P33" s="54" t="str">
        <x:v>لم يتم التواصل</x:v>
      </x:c>
      <x:c r="Q33" s="54" t="str"/>
      <x:c r="R33" s="53" t="str"/>
      <x:c r="S33" s="53" t="str">
        <x:v>2026-08-10</x:v>
      </x:c>
    </x:row>
    <x:row r="34" ht="529.2000122070312" hidden="0" customHeight="1">
      <x:c r="A34" s="51" t="str">
        <x:v>MKB1-029</x:v>
      </x:c>
      <x:c r="B34" s="51" t="str">
        <x:v>النسيم</x:v>
      </x:c>
      <x:c r="C34" s="51" t="str">
        <x:v>شركة أو مؤسسة</x:v>
      </x:c>
      <x:c r="D34" s="52" t="str">
        <x:v>شركة مجموعة مرعي بن محفوظ وشركاه - مساهمة مقفلة</x:v>
      </x:c>
      <x:c r="E34" s="53" t="str">
        <x:v>شركة أو مؤسسة</x:v>
      </x:c>
      <x:c r="F34" s="51" t="str">
        <x:v>012 550 0088</x:v>
      </x:c>
      <x:c r="G34" s="51" t="str"/>
      <x:c r="H34" s="51" t="n">
        <x:v>1</x:v>
      </x:c>
      <x:c r="I34" s="51" t="n">
        <x:v>88</x:v>
      </x:c>
      <x:c r="J34" s="53" t="str">
        <x:v>تدقيق حضور رقمي وخطة محتوى وحملات أداء</x:v>
      </x:c>
      <x:c r="K34" s="53" t="str">
        <x:v>6712, An Naseem, Makkah 24245 4443، مكة 24245</x:v>
      </x:c>
      <x:c r="L34" s="53" t="str"/>
      <x:c r="M34" s="53" t="str">
        <x:v>https://www.google.com/maps/place/%D8%B4%D8%B1%D9%83%D8%A9+%D9%85%D8%AC%D9%85%D9%88%D8%B9%D8%A9+%D9%85%D8%B1%D8%B9%D9%8A+%D8%A8%D9%86+%D9%85%D8%AD%D9%81%D9%88%D8%B8+%D9%88%D8%B4%D8%B1%D9%83%D8%A7%D9%87+-+%D9%85%D8%B3%D8%A7%D9%87%D9%85%D8%A9+%D9%85%D9%82%D9%81%D9%84%D8%A9%E2%80%AD/data=!4m7!3m6!1s0x15c20550f82b660f:0x977283807ca7b437!8m2!3d21.3639677!4d39.8840928!16s%2Fg%2F11r8b76c8!19sChIJD2Yr-FAFwhURN7SnfICDcpc?authuser=0&amp;hl=ar&amp;rclk=1</x:v>
      </x:c>
      <x:c r="N34" s="54" t="str">
        <x:v>جديد</x:v>
      </x:c>
      <x:c r="O34" s="54" t="str"/>
      <x:c r="P34" s="54" t="str">
        <x:v>لم يتم التواصل</x:v>
      </x:c>
      <x:c r="Q34" s="54" t="str"/>
      <x:c r="R34" s="53" t="str"/>
      <x:c r="S34" s="53" t="str">
        <x:v>2026-08-10</x:v>
      </x:c>
    </x:row>
    <x:row r="35" ht="410.3999938964844" hidden="0" customHeight="1">
      <x:c r="A35" s="51" t="str">
        <x:v>MKB1-030</x:v>
      </x:c>
      <x:c r="B35" s="51" t="str">
        <x:v>النسيم</x:v>
      </x:c>
      <x:c r="C35" s="51" t="str">
        <x:v>شركة أو مؤسسة</x:v>
      </x:c>
      <x:c r="D35" s="52" t="str">
        <x:v>مجموعة رعد الجميعي التجارية</x:v>
      </x:c>
      <x:c r="E35" s="53" t="str">
        <x:v>شركة أو مؤسسة</x:v>
      </x:c>
      <x:c r="F35" s="51" t="str">
        <x:v>012 566 5566</x:v>
      </x:c>
      <x:c r="G35" s="51" t="str"/>
      <x:c r="H35" s="51" t="n">
        <x:v>1</x:v>
      </x:c>
      <x:c r="I35" s="51" t="n">
        <x:v>88</x:v>
      </x:c>
      <x:c r="J35" s="53" t="str">
        <x:v>تدقيق حضور رقمي وخطة محتوى وحملات أداء</x:v>
      </x:c>
      <x:c r="K35" s="53" t="str">
        <x:v>شارع العباس بن عبد المطلب, حي النسيم، مقابل متاجر السعودية، مكة</x:v>
      </x:c>
      <x:c r="L35" s="53" t="str"/>
      <x:c r="M35" s="53" t="str">
        <x:v>https://www.google.com/maps/place/%D9%85%D8%AC%D9%85%D9%88%D8%B9%D8%A9+%D8%B1%D8%B9%D8%AF+%D8%A7%D9%84%D8%AC%D9%85%D9%8A%D8%B9%D9%8A+%D8%A7%D9%84%D8%AA%D8%AC%D8%A7%D8%B1%D9%8A%D8%A9%E2%80%AD/data=!4m7!3m6!1s0x15c2053ccafab9eb:0xfbc608862cbcf41d!8m2!3d21.3701761!4d39.8821598!16s%2Fg%2F11fm5yvzqm!19sChIJ67n6yjwFwhURHfS8LIYIxvs?authuser=0&amp;hl=ar&amp;rclk=1</x:v>
      </x:c>
      <x:c r="N35" s="54" t="str">
        <x:v>جديد</x:v>
      </x:c>
      <x:c r="O35" s="54" t="str"/>
      <x:c r="P35" s="54" t="str">
        <x:v>لم يتم التواصل</x:v>
      </x:c>
      <x:c r="Q35" s="54" t="str"/>
      <x:c r="R35" s="53" t="str"/>
      <x:c r="S35" s="53" t="str">
        <x:v>2026-08-10</x:v>
      </x:c>
    </x:row>
    <x:row r="36" ht="356.3999938964844" hidden="0" customHeight="1">
      <x:c r="A36" s="51" t="str">
        <x:v>MKB1-031</x:v>
      </x:c>
      <x:c r="B36" s="51" t="str">
        <x:v>النسيم</x:v>
      </x:c>
      <x:c r="C36" s="51" t="str">
        <x:v>مطاعم وضيافة</x:v>
      </x:c>
      <x:c r="D36" s="52" t="str">
        <x:v>مطعم أبو أسيد - النسيم</x:v>
      </x:c>
      <x:c r="E36" s="53" t="str">
        <x:v>مطعم</x:v>
      </x:c>
      <x:c r="F36" s="51" t="str">
        <x:v>055 801 0205</x:v>
      </x:c>
      <x:c r="G36" s="51" t="str"/>
      <x:c r="H36" s="51" t="n">
        <x:v>2</x:v>
      </x:c>
      <x:c r="I36" s="51" t="n">
        <x:v>82</x:v>
      </x:c>
      <x:c r="J36" s="53" t="str">
        <x:v>تصوير ومحتوى قصير وإدارة حسابات وحملات زيارات محلية</x:v>
      </x:c>
      <x:c r="K36" s="53" t="str">
        <x:v>3424 شارع فاطمة الزهراء، 8042، MENA8042، مكة 24245</x:v>
      </x:c>
      <x:c r="L36" s="53" t="str">
        <x:v>https://abuosaid.com/</x:v>
      </x:c>
      <x:c r="M36" s="53" t="str">
        <x:v>https://www.google.com/maps/place/%D9%85%D8%B7%D8%B9%D9%85+%D8%A3%D8%A8%D9%88+%D8%A3%D8%B3%D9%8A%D8%AF+-+%D8%A7%D9%84%D9%86%D8%B3%D9%8A%D9%85%E2%80%AD/data=!4m7!3m6!1s0x15c2057c359dd5c9:0x67aae5ba5c6e95ce!8m2!3d21.3759863!4d39.8742892!16s%2Fg%2F11sj9kz1x6!19sChIJydWdNXwFwhURzpVuXLrlqmc?authuser=0&amp;hl=ar&amp;rclk=1</x:v>
      </x:c>
      <x:c r="N36" s="54" t="str">
        <x:v>جديد</x:v>
      </x:c>
      <x:c r="O36" s="54" t="str"/>
      <x:c r="P36" s="54" t="str">
        <x:v>لم يتم التواصل</x:v>
      </x:c>
      <x:c r="Q36" s="54" t="str"/>
      <x:c r="R36" s="53" t="str"/>
      <x:c r="S36" s="53" t="str">
        <x:v>2026-08-10</x:v>
      </x:c>
    </x:row>
    <x:row r="37" ht="248.39999389648438" hidden="0" customHeight="1">
      <x:c r="A37" s="51" t="str">
        <x:v>MKB1-032</x:v>
      </x:c>
      <x:c r="B37" s="51" t="str">
        <x:v>النسيم</x:v>
      </x:c>
      <x:c r="C37" s="51" t="str">
        <x:v>مطاعم وضيافة</x:v>
      </x:c>
      <x:c r="D37" s="52" t="str">
        <x:v>Toshi توشي</x:v>
      </x:c>
      <x:c r="E37" s="53" t="str">
        <x:v>مطعم</x:v>
      </x:c>
      <x:c r="F37" s="51" t="str">
        <x:v>055 700 0273</x:v>
      </x:c>
      <x:c r="G37" s="51" t="str"/>
      <x:c r="H37" s="51" t="n">
        <x:v>2</x:v>
      </x:c>
      <x:c r="I37" s="51" t="n">
        <x:v>76</x:v>
      </x:c>
      <x:c r="J37" s="53" t="str">
        <x:v>تصوير ومحتوى قصير وإدارة حسابات وحملات زيارات محلية</x:v>
      </x:c>
      <x:c r="K37" s="53" t="str">
        <x:v>النسيم، مكة 24245</x:v>
      </x:c>
      <x:c r="L37" s="53" t="str"/>
      <x:c r="M37" s="53" t="str">
        <x:v>https://www.google.com/maps/place/Toshi+%D8%AA%D9%88%D8%B4%D9%8A%E2%80%AD/data=!4m7!3m6!1s0x15c205e668aff75f:0x2acf8c4dd937aa24!8m2!3d21.3621502!4d39.8805309!16s%2Fg%2F11rff78dg7!19sChIJX_evaOYFwhURJKo32U2Mzyo?authuser=0&amp;hl=ar&amp;rclk=1</x:v>
      </x:c>
      <x:c r="N37" s="54" t="str">
        <x:v>جديد</x:v>
      </x:c>
      <x:c r="O37" s="54" t="str"/>
      <x:c r="P37" s="54" t="str">
        <x:v>لم يتم التواصل</x:v>
      </x:c>
      <x:c r="Q37" s="54" t="str"/>
      <x:c r="R37" s="53" t="str"/>
      <x:c r="S37" s="53" t="str">
        <x:v>2026-08-10</x:v>
      </x:c>
    </x:row>
    <x:row r="38" ht="388.79998779296875" hidden="0" customHeight="1">
      <x:c r="A38" s="51" t="str">
        <x:v>MKB1-033</x:v>
      </x:c>
      <x:c r="B38" s="51" t="str">
        <x:v>النسيم</x:v>
      </x:c>
      <x:c r="C38" s="51" t="str">
        <x:v>مطاعم وضيافة</x:v>
      </x:c>
      <x:c r="D38" s="52" t="str">
        <x:v>مطاعم ومطابخ مجلس التراث</x:v>
      </x:c>
      <x:c r="E38" s="53" t="str">
        <x:v>مطعم</x:v>
      </x:c>
      <x:c r="F38" s="51" t="str">
        <x:v>055 501 8033</x:v>
      </x:c>
      <x:c r="G38" s="51" t="str"/>
      <x:c r="H38" s="51" t="n">
        <x:v>2</x:v>
      </x:c>
      <x:c r="I38" s="51" t="n">
        <x:v>76</x:v>
      </x:c>
      <x:c r="J38" s="53" t="str">
        <x:v>تصوير ومحتوى قصير وإدارة حسابات وحملات زيارات محلية</x:v>
      </x:c>
      <x:c r="K38" s="53" t="str">
        <x:v>7237، النسيم، مكة 24245 3400،، مكة</x:v>
      </x:c>
      <x:c r="L38" s="53" t="str"/>
      <x:c r="M38" s="53" t="str">
        <x:v>https://www.google.com/maps/place/%D9%85%D8%B7%D8%A7%D8%B9%D9%85+%D9%88%D9%85%D8%B7%D8%A7%D8%A8%D8%AE+%D9%85%D8%AC%D9%84%D8%B3+%D8%A7%D9%84%D8%AA%D8%B1%D8%A7%D8%AB%E2%80%AD/data=!4m7!3m6!1s0x15c20550106a506b:0xd1ca23e3effadf76!8m2!3d21.3687775!4d39.8739814!16s%2Fg%2F11hdxc1g4t!19sChIJa1BqEFAFwhURdt_67-MjytE?authuser=0&amp;hl=ar&amp;rclk=1</x:v>
      </x:c>
      <x:c r="N38" s="54" t="str">
        <x:v>جديد</x:v>
      </x:c>
      <x:c r="O38" s="54" t="str"/>
      <x:c r="P38" s="54" t="str">
        <x:v>لم يتم التواصل</x:v>
      </x:c>
      <x:c r="Q38" s="54" t="str"/>
      <x:c r="R38" s="53" t="str"/>
      <x:c r="S38" s="53" t="str">
        <x:v>2026-08-10</x:v>
      </x:c>
    </x:row>
    <x:row r="39" ht="280.79998779296875" hidden="0" customHeight="1">
      <x:c r="A39" s="51" t="str">
        <x:v>MKB1-034</x:v>
      </x:c>
      <x:c r="B39" s="51" t="str">
        <x:v>النسيم</x:v>
      </x:c>
      <x:c r="C39" s="51" t="str">
        <x:v>مطاعم وضيافة</x:v>
      </x:c>
      <x:c r="D39" s="52" t="str">
        <x:v>مطعم مشراق</x:v>
      </x:c>
      <x:c r="E39" s="53" t="str">
        <x:v>مطعم</x:v>
      </x:c>
      <x:c r="F39" s="51" t="str">
        <x:v>056 579 2420</x:v>
      </x:c>
      <x:c r="G39" s="51" t="str"/>
      <x:c r="H39" s="51" t="n">
        <x:v>2</x:v>
      </x:c>
      <x:c r="I39" s="51" t="n">
        <x:v>82</x:v>
      </x:c>
      <x:c r="J39" s="53" t="str">
        <x:v>تصوير ومحتوى قصير وإدارة حسابات وحملات زيارات محلية</x:v>
      </x:c>
      <x:c r="K39" s="53" t="str">
        <x:v>النسيم، مكة 24372</x:v>
      </x:c>
      <x:c r="L39" s="53" t="str">
        <x:v>https://www.meshraq.com.sa/</x:v>
      </x:c>
      <x:c r="M39" s="53" t="str">
        <x:v>https://www.google.com/maps/place/%D9%85%D8%B7%D8%B9%D9%85+%D9%85%D8%B4%D8%B1%D8%A7%D9%82%E2%80%AD/data=!4m7!3m6!1s0x15c2057ad5abfcbd:0x5e4c8ec0f4e85671!8m2!3d21.3617933!4d39.8877102!16s%2Fg%2F11rtwps6hc!19sChIJvfyr1XoFwhURcVbo9MCOTF4?authuser=0&amp;hl=ar&amp;rclk=1</x:v>
      </x:c>
      <x:c r="N39" s="54" t="str">
        <x:v>جديد</x:v>
      </x:c>
      <x:c r="O39" s="54" t="str"/>
      <x:c r="P39" s="54" t="str">
        <x:v>لم يتم التواصل</x:v>
      </x:c>
      <x:c r="Q39" s="54" t="str"/>
      <x:c r="R39" s="53" t="str"/>
      <x:c r="S39" s="53" t="str">
        <x:v>2026-08-10</x:v>
      </x:c>
    </x:row>
    <x:row r="40" ht="302.3999938964844" hidden="0" customHeight="1">
      <x:c r="A40" s="51" t="str">
        <x:v>MKB1-035</x:v>
      </x:c>
      <x:c r="B40" s="51" t="str">
        <x:v>النسيم</x:v>
      </x:c>
      <x:c r="C40" s="51" t="str">
        <x:v>مطاعم وضيافة</x:v>
      </x:c>
      <x:c r="D40" s="52" t="str">
        <x:v>اوفا بستان OVA BOSTAN</x:v>
      </x:c>
      <x:c r="E40" s="53" t="str">
        <x:v>مطعم</x:v>
      </x:c>
      <x:c r="F40" s="51" t="str">
        <x:v>054 455 6789</x:v>
      </x:c>
      <x:c r="G40" s="51" t="str"/>
      <x:c r="H40" s="51" t="n">
        <x:v>2</x:v>
      </x:c>
      <x:c r="I40" s="51" t="n">
        <x:v>82</x:v>
      </x:c>
      <x:c r="J40" s="53" t="str">
        <x:v>تصوير ومحتوى قصير وإدارة حسابات وحملات زيارات محلية</x:v>
      </x:c>
      <x:c r="K40" s="53" t="str">
        <x:v>9VCM+83، النسيم، مكة 24245</x:v>
      </x:c>
      <x:c r="L40" s="53" t="str">
        <x:v>https://www.instagram.com/ovabostan?igsh=ZTFuMHE3N3ZmMTBx</x:v>
      </x:c>
      <x:c r="M40" s="53" t="str">
        <x:v>https://www.google.com/maps/place/%D8%A7%D9%88%D9%81%D8%A7+%D8%A8%D8%B3%D8%AA%D8%A7%D9%86+OVA+BOSTAN%E2%80%AD/data=!4m7!3m6!1s0x15c2050056f3e75f:0x6da76cfc234b22e3!8m2!3d21.3708388!4d39.8826357!16s%2Fg%2F11y4700zsv!19sChIJX-fzVgAFwhUR4yJLI_xsp20?authuser=0&amp;hl=ar&amp;rclk=1</x:v>
      </x:c>
      <x:c r="N40" s="54" t="str">
        <x:v>جديد</x:v>
      </x:c>
      <x:c r="O40" s="54" t="str"/>
      <x:c r="P40" s="54" t="str">
        <x:v>لم يتم التواصل</x:v>
      </x:c>
      <x:c r="Q40" s="54" t="str"/>
      <x:c r="R40" s="53" t="str"/>
      <x:c r="S40" s="53" t="str">
        <x:v>2026-08-10</x:v>
      </x:c>
    </x:row>
    <x:row r="41" ht="550.7999877929688" hidden="0" customHeight="1">
      <x:c r="A41" s="51" t="str">
        <x:v>MKB1-036</x:v>
      </x:c>
      <x:c r="B41" s="51" t="str">
        <x:v>الشرائع</x:v>
      </x:c>
      <x:c r="C41" s="51" t="str">
        <x:v>خدمات مهنية ومالية</x:v>
      </x:c>
      <x:c r="D41" s="52" t="str">
        <x:v>شركة حسان السواط للحلول المالية والإدارية بمكة</x:v>
      </x:c>
      <x:c r="E41" s="53" t="str">
        <x:v>شركة أو مؤسسة</x:v>
      </x:c>
      <x:c r="F41" s="51" t="str">
        <x:v>9200 16641</x:v>
      </x:c>
      <x:c r="G41" s="51" t="str"/>
      <x:c r="H41" s="51" t="n">
        <x:v>1</x:v>
      </x:c>
      <x:c r="I41" s="51" t="n">
        <x:v>88</x:v>
      </x:c>
      <x:c r="J41" s="53" t="str">
        <x:v>حضور رقمي مؤسسي ومحتوى ثقة وتوليد فرص</x:v>
      </x:c>
      <x:c r="K41" s="53" t="str">
        <x:v>الفردوس، الراشدية، مكة 24269</x:v>
      </x:c>
      <x:c r="L41" s="53" t="str"/>
      <x:c r="M41" s="53" t="str">
        <x:v>https://www.google.com/maps/place/%D8%B4%D8%B1%D9%83%D8%A9+%D8%AD%D8%B3%D8%A7%D9%86+%D8%A7%D9%84%D8%B3%D9%88%D8%A7%D8%B7+%D9%84%D9%84%D8%AD%D9%84%D9%88%D9%84+%D8%A7%D9%84%D9%85%D8%A7%D9%84%D9%8A%D8%A9+%D9%88%D8%A7%D9%84%D8%A5%D8%AF%D8%A7%D8%B1%D9%8A%D8%A9+%D8%A8%D9%85%D9%83%D8%A9%E2%80%AD/data=!4m7!3m6!1s0x15c2017247d27929:0xad56ffa48b31a573!8m2!3d21.4806333!4d39.9514122!16s%2Fg%2F11yq94tn4w!19sChIJKXnSR3IBwhURc6Uxi6T_Vq0?authuser=0&amp;hl=ar&amp;rclk=1</x:v>
      </x:c>
      <x:c r="N41" s="54" t="str">
        <x:v>جديد</x:v>
      </x:c>
      <x:c r="O41" s="54" t="str"/>
      <x:c r="P41" s="54" t="str">
        <x:v>لم يتم التواصل</x:v>
      </x:c>
      <x:c r="Q41" s="54" t="str"/>
      <x:c r="R41" s="53" t="str"/>
      <x:c r="S41" s="53" t="str">
        <x:v>2026-08-10</x:v>
      </x:c>
    </x:row>
    <x:row r="42" ht="464.3999938964844" hidden="0" customHeight="1">
      <x:c r="A42" s="51" t="str">
        <x:v>MKB1-037</x:v>
      </x:c>
      <x:c r="B42" s="51" t="str">
        <x:v>الشرائع</x:v>
      </x:c>
      <x:c r="C42" s="51" t="str">
        <x:v>شركة أو مؤسسة</x:v>
      </x:c>
      <x:c r="D42" s="52" t="str">
        <x:v>دانا للديكور والباركيه فرع الشرائع</x:v>
      </x:c>
      <x:c r="E42" s="53" t="str">
        <x:v>شركة أو مؤسسة</x:v>
      </x:c>
      <x:c r="F42" s="51" t="str">
        <x:v>054 194 7584</x:v>
      </x:c>
      <x:c r="G42" s="51" t="str"/>
      <x:c r="H42" s="51" t="n">
        <x:v>1</x:v>
      </x:c>
      <x:c r="I42" s="51" t="n">
        <x:v>95</x:v>
      </x:c>
      <x:c r="J42" s="53" t="str">
        <x:v>تدقيق حضور رقمي وخطة محتوى وحملات أداء</x:v>
      </x:c>
      <x:c r="K42" s="53" t="str">
        <x:v>الفردوس، الراشدية، مكة 24269</x:v>
      </x:c>
      <x:c r="L42" s="53" t="str">
        <x:v>https://www.instagram.com/danadecoration?igsh=aWhsOGtjMDYzcHZn</x:v>
      </x:c>
      <x:c r="M42" s="53" t="str">
        <x:v>https://www.google.com/maps/place/%D8%AF%D8%A7%D9%86%D8%A7+%D9%84%D9%84%D8%AF%D9%8A%D9%83%D9%88%D8%B1+%D9%88%D8%A7%D9%84%D8%A8%D8%A7%D8%B1%D9%83%D9%8A%D9%87+%D9%81%D8%B1%D8%B9+%D8%A7%D9%84%D8%B4%D8%B1%D8%A7%D8%A6%D8%B9%E2%80%AD/data=!4m7!3m6!1s0x15c2013069c7219d:0xaf8982bf041ee782!8m2!3d21.4772772!4d39.9445202!16s%2Fg%2F11mrs6tdt9!19sChIJnSHHaTABwhURguceBL-Cia8?authuser=0&amp;hl=ar&amp;rclk=1</x:v>
      </x:c>
      <x:c r="N42" s="54" t="str">
        <x:v>جديد</x:v>
      </x:c>
      <x:c r="O42" s="54" t="str"/>
      <x:c r="P42" s="54" t="str">
        <x:v>لم يتم التواصل</x:v>
      </x:c>
      <x:c r="Q42" s="54" t="str"/>
      <x:c r="R42" s="53" t="str"/>
      <x:c r="S42" s="53" t="str">
        <x:v>2026-08-10</x:v>
      </x:c>
    </x:row>
    <x:row r="43" ht="540" hidden="0" customHeight="1">
      <x:c r="A43" s="51" t="str">
        <x:v>MKB1-038</x:v>
      </x:c>
      <x:c r="B43" s="51" t="str">
        <x:v>الشرائع</x:v>
      </x:c>
      <x:c r="C43" s="51" t="str">
        <x:v>تقنية وتجارة متخصصة</x:v>
      </x:c>
      <x:c r="D43" s="52" t="str">
        <x:v>مؤسسة المسار الذكي للتقنية وصيانه الحاسب الالي</x:v>
      </x:c>
      <x:c r="E43" s="53" t="str">
        <x:v>شركة أو مؤسسة</x:v>
      </x:c>
      <x:c r="F43" s="51" t="str">
        <x:v>059 866 9311</x:v>
      </x:c>
      <x:c r="G43" s="51" t="str"/>
      <x:c r="H43" s="51" t="n">
        <x:v>1</x:v>
      </x:c>
      <x:c r="I43" s="51" t="n">
        <x:v>88</x:v>
      </x:c>
      <x:c r="J43" s="53" t="str">
        <x:v>محتوى B2B وكتالوج رقمي وحملات أداء</x:v>
      </x:c>
      <x:c r="K43" s="53" t="str">
        <x:v>الشرائع، محمد صالح باشراحيل، الراشدية، الشرائع مخطط 2 الشارع الاصفر بجوار مطعم ماكدونالدز امام صراف الراجحي،، مكة 24268،، مكة 24268</x:v>
      </x:c>
      <x:c r="L43" s="53" t="str"/>
      <x:c r="M43" s="53" t="str">
        <x:v>https://www.google.com/maps/place/%D9%85%D8%A4%D8%B3%D8%B3%D8%A9+%D8%A7%D9%84%D9%85%D8%B3%D8%A7%D8%B1+%D8%A7%D9%84%D8%B0%D9%83%D9%8A+%D9%84%D9%84%D8%AA%D9%82%D9%86%D9%8A%D8%A9+%D9%88%D8%B5%D9%8A%D8%A7%D9%86%D9%87+%D8%A7%D9%84%D8%AD%D8%A7%D8%B3%D8%A8+%D8%A7%D9%84%D8%A7%D9%84%D9%8A%E2%80%AD/data=!4m7!3m6!1s0x15c20047fc3feedf:0xbc2d8e2374ee2320!8m2!3d21.461031!4d39.9503355!16s%2Fg%2F11cnbpw1s0!19sChIJ3-4__EcAwhURICPudCOOLbw?authuser=0&amp;hl=ar&amp;rclk=1</x:v>
      </x:c>
      <x:c r="N43" s="54" t="str">
        <x:v>جديد</x:v>
      </x:c>
      <x:c r="O43" s="54" t="str"/>
      <x:c r="P43" s="54" t="str">
        <x:v>لم يتم التواصل</x:v>
      </x:c>
      <x:c r="Q43" s="54" t="str"/>
      <x:c r="R43" s="53" t="str"/>
      <x:c r="S43" s="53" t="str">
        <x:v>2026-08-10</x:v>
      </x:c>
    </x:row>
    <x:row r="44" ht="399.6000061035156" hidden="0" customHeight="1">
      <x:c r="A44" s="51" t="str">
        <x:v>MKB1-039</x:v>
      </x:c>
      <x:c r="B44" s="51" t="str">
        <x:v>الشرائع</x:v>
      </x:c>
      <x:c r="C44" s="51" t="str">
        <x:v>مطاعم وضيافة</x:v>
      </x:c>
      <x:c r="D44" s="52" t="str">
        <x:v>مطاعم ومطابخ معتز - الشرائع</x:v>
      </x:c>
      <x:c r="E44" s="53" t="str">
        <x:v>مطعم</x:v>
      </x:c>
      <x:c r="F44" s="51" t="str">
        <x:v>9200 35147</x:v>
      </x:c>
      <x:c r="G44" s="51" t="str"/>
      <x:c r="H44" s="51" t="n">
        <x:v>2</x:v>
      </x:c>
      <x:c r="I44" s="51" t="n">
        <x:v>82</x:v>
      </x:c>
      <x:c r="J44" s="53" t="str">
        <x:v>تصوير ومحتوى قصير وإدارة حسابات وحملات زيارات محلية</x:v>
      </x:c>
      <x:c r="K44" s="53" t="str">
        <x:v>الشرائع، مكة 26511</x:v>
      </x:c>
      <x:c r="L44" s="53" t="str">
        <x:v>https://mutazkitchen.tryorder.net/</x:v>
      </x:c>
      <x:c r="M44" s="53" t="str">
        <x:v>https://www.google.com/maps/place/%D9%85%D8%B7%D8%A7%D8%B9%D9%85+%D9%88%D9%85%D8%B7%D8%A7%D8%A8%D8%AE+%D9%85%D8%B9%D8%AA%D8%B2+-+%D8%A7%D9%84%D8%B4%D8%B1%D8%A7%D8%A6%D8%B9%E2%80%AD/data=!4m7!3m6!1s0x15c2031fc07ef205:0x428467969fd0d541!8m2!3d21.459152!4d39.9588272!16s%2Fg%2F11myk124fr!19sChIJBfJ-wB8DwhURQdXQn5ZnhEI?authuser=0&amp;hl=ar&amp;rclk=1</x:v>
      </x:c>
      <x:c r="N44" s="54" t="str">
        <x:v>جديد</x:v>
      </x:c>
      <x:c r="O44" s="54" t="str"/>
      <x:c r="P44" s="54" t="str">
        <x:v>لم يتم التواصل</x:v>
      </x:c>
      <x:c r="Q44" s="54" t="str"/>
      <x:c r="R44" s="53" t="str"/>
      <x:c r="S44" s="53" t="str">
        <x:v>2026-08-10</x:v>
      </x:c>
    </x:row>
    <x:row r="45" ht="421.20001220703125" hidden="0" customHeight="1">
      <x:c r="A45" s="51" t="str">
        <x:v>MKB1-040</x:v>
      </x:c>
      <x:c r="B45" s="51" t="str">
        <x:v>الشرائع</x:v>
      </x:c>
      <x:c r="C45" s="51" t="str">
        <x:v>مطاعم وضيافة</x:v>
      </x:c>
      <x:c r="D45" s="52" t="str">
        <x:v>مطاعم ومشويات الديوان الدمشقي</x:v>
      </x:c>
      <x:c r="E45" s="53" t="str">
        <x:v>مطعم</x:v>
      </x:c>
      <x:c r="F45" s="51" t="str"/>
      <x:c r="G45" s="51" t="str"/>
      <x:c r="H45" s="51" t="n">
        <x:v>2</x:v>
      </x:c>
      <x:c r="I45" s="51" t="n">
        <x:v>62</x:v>
      </x:c>
      <x:c r="J45" s="53" t="str">
        <x:v>تصوير ومحتوى قصير وإدارة حسابات وحملات زيارات محلية</x:v>
      </x:c>
      <x:c r="K45" s="53" t="str"/>
      <x:c r="L45" s="53" t="str"/>
      <x:c r="M45" s="53" t="str">
        <x:v>https://www.google.com/maps/place/%D9%85%D8%B7%D8%A7%D8%B9%D9%85+%D9%88%D9%85%D8%B4%D9%88%D9%8A%D8%A7%D8%AA+%D8%A7%D9%84%D8%AF%D9%8A%D9%88%D8%A7%D9%86+%D8%A7%D9%84%D8%AF%D9%85%D8%B4%D9%82%D9%8A%E2%80%AD/data=!4m7!3m6!1s0x15c2012623af89c1:0xd1fedcc75e6139f4!8m2!3d21.4590815!4d39.9182733!16s%2Fg%2F11vc16px_3!19sChIJwYmvIyYBwhUR9DlhXsfc_tE?authuser=0&amp;hl=ar&amp;rclk=1</x:v>
      </x:c>
      <x:c r="N45" s="54" t="str">
        <x:v>جديد</x:v>
      </x:c>
      <x:c r="O45" s="54" t="str"/>
      <x:c r="P45" s="54" t="str">
        <x:v>لم يتم التواصل</x:v>
      </x:c>
      <x:c r="Q45" s="54" t="str"/>
      <x:c r="R45" s="53" t="str"/>
      <x:c r="S45" s="53" t="str">
        <x:v>2026-08-10</x:v>
      </x:c>
    </x:row>
    <x:row r="46" ht="356.3999938964844" hidden="0" customHeight="1">
      <x:c r="A46" s="51" t="str">
        <x:v>MKB1-041</x:v>
      </x:c>
      <x:c r="B46" s="51" t="str">
        <x:v>الشرائع</x:v>
      </x:c>
      <x:c r="C46" s="51" t="str">
        <x:v>مطاعم وضيافة</x:v>
      </x:c>
      <x:c r="D46" s="52" t="str">
        <x:v>برجرز | BURGERS - فرع الشرائع</x:v>
      </x:c>
      <x:c r="E46" s="53" t="str">
        <x:v>مطعم</x:v>
      </x:c>
      <x:c r="F46" s="51" t="str">
        <x:v>055 161 9503</x:v>
      </x:c>
      <x:c r="G46" s="51" t="str"/>
      <x:c r="H46" s="51" t="n">
        <x:v>2</x:v>
      </x:c>
      <x:c r="I46" s="51" t="n">
        <x:v>76</x:v>
      </x:c>
      <x:c r="J46" s="53" t="str">
        <x:v>تصوير ومحتوى قصير وإدارة حسابات وحملات زيارات محلية</x:v>
      </x:c>
      <x:c r="K46" s="53" t="str">
        <x:v>محمد صالح ابراهيم خزامي، الشرائع، مكة 24432</x:v>
      </x:c>
      <x:c r="L46" s="53" t="str"/>
      <x:c r="M46" s="53" t="str">
        <x:v>https://www.google.com/maps/place/%D8%A8%D8%B1%D8%AC%D8%B1%D8%B2+%7C+BURGERS+-+%D9%81%D8%B1%D8%B9+%D8%A7%D9%84%D8%B4%D8%B1%D8%A7%D8%A6%D8%B9%E2%80%AD/data=!4m7!3m6!1s0x15c2014b79746dcf:0x10e7acbc3ac065f7!8m2!3d21.4765584!4d39.9273945!16s%2Fg%2F11zd2qp_h7!19sChIJz210eUsBwhUR92XAOrys5xA?authuser=0&amp;hl=ar&amp;rclk=1</x:v>
      </x:c>
      <x:c r="N46" s="54" t="str">
        <x:v>جديد</x:v>
      </x:c>
      <x:c r="O46" s="54" t="str"/>
      <x:c r="P46" s="54" t="str">
        <x:v>لم يتم التواصل</x:v>
      </x:c>
      <x:c r="Q46" s="54" t="str"/>
      <x:c r="R46" s="53" t="str"/>
      <x:c r="S46" s="53" t="str">
        <x:v>2026-08-10</x:v>
      </x:c>
    </x:row>
    <x:row r="47" ht="378" hidden="0" customHeight="1">
      <x:c r="A47" s="51" t="str">
        <x:v>MKB1-042</x:v>
      </x:c>
      <x:c r="B47" s="51" t="str">
        <x:v>الشرائع</x:v>
      </x:c>
      <x:c r="C47" s="51" t="str">
        <x:v>مطاعم وضيافة</x:v>
      </x:c>
      <x:c r="D47" s="52" t="str">
        <x:v>مطعم عريكة وفول السلطان</x:v>
      </x:c>
      <x:c r="E47" s="53" t="str">
        <x:v>مطعم</x:v>
      </x:c>
      <x:c r="F47" s="51" t="str">
        <x:v>055 840 0681</x:v>
      </x:c>
      <x:c r="G47" s="51" t="str"/>
      <x:c r="H47" s="51" t="n">
        <x:v>2</x:v>
      </x:c>
      <x:c r="I47" s="51" t="n">
        <x:v>76</x:v>
      </x:c>
      <x:c r="J47" s="53" t="str">
        <x:v>تصوير ومحتوى قصير وإدارة حسابات وحملات زيارات محلية</x:v>
      </x:c>
      <x:c r="K47" s="53" t="str">
        <x:v>الشرائع، MERD8023، 2744، مكة 24269</x:v>
      </x:c>
      <x:c r="L47" s="53" t="str"/>
      <x:c r="M47" s="53" t="str">
        <x:v>https://www.google.com/maps/place/%D9%85%D8%B7%D8%B9%D9%85+%D8%B9%D8%B1%D9%8A%D9%83%D8%A9+%D9%88%D9%81%D9%88%D9%84+%D8%A7%D9%84%D8%B3%D9%84%D8%B7%D8%A7%D9%86%E2%80%AD/data=!4m7!3m6!1s0x15c201005bfe9221:0x1a2db0143408219a!8m2!3d21.4784487!4d39.9423375!16s%2Fg%2F11lw0nmp1j!19sChIJIZL-WwABwhURmiEINBSwLRo?authuser=0&amp;hl=ar&amp;rclk=1</x:v>
      </x:c>
      <x:c r="N47" s="54" t="str">
        <x:v>جديد</x:v>
      </x:c>
      <x:c r="O47" s="54" t="str"/>
      <x:c r="P47" s="54" t="str">
        <x:v>لم يتم التواصل</x:v>
      </x:c>
      <x:c r="Q47" s="54" t="str"/>
      <x:c r="R47" s="53" t="str"/>
      <x:c r="S47" s="53" t="str">
        <x:v>2026-08-10</x:v>
      </x:c>
    </x:row>
    <x:row r="48" ht="345.6000061035156" hidden="0" customHeight="1">
      <x:c r="A48" s="55" t="str">
        <x:v>MKB1-043</x:v>
      </x:c>
      <x:c r="B48" s="55" t="str">
        <x:v>الشرائع</x:v>
      </x:c>
      <x:c r="C48" s="55" t="str">
        <x:v>مطاعم وضيافة</x:v>
      </x:c>
      <x:c r="D48" s="56" t="str">
        <x:v>نصف شواية - الشرائع</x:v>
      </x:c>
      <x:c r="E48" s="57" t="str">
        <x:v>مطعم</x:v>
      </x:c>
      <x:c r="F48" s="55" t="str"/>
      <x:c r="G48" s="55" t="str"/>
      <x:c r="H48" s="55" t="n">
        <x:v>2</x:v>
      </x:c>
      <x:c r="I48" s="55" t="n">
        <x:v>62</x:v>
      </x:c>
      <x:c r="J48" s="57" t="str">
        <x:v>تصوير ومحتوى قصير وإدارة حسابات وحملات زيارات محلية</x:v>
      </x:c>
      <x:c r="K48" s="57" t="str">
        <x:v>3211 المهندس عمر قاضي، حي السلام، مكة 24269</x:v>
      </x:c>
      <x:c r="L48" s="57" t="str">
        <x:v>https://linktr.ee/nesfshawaya01</x:v>
      </x:c>
      <x:c r="M48" s="57" t="str">
        <x:v>https://www.google.com/maps/place/%D9%86%D8%B5%D9%81+%D8%B4%D9%88%D8%A7%D9%8A%D8%A9+-+%D8%A7%D9%84%D8%B4%D8%B1%D8%A7%D8%A6%D8%B9%E2%80%AD/data=!4m7!3m6!1s0x15c201006b18c54b:0xf776cc660c26806e!8m2!3d21.4628071!4d39.9467497!16s%2Fg%2F11vpn2kt3m!19sChIJS8UYawABwhURboAmDGbMdvc?authuser=0&amp;hl=ar&amp;rclk=1</x:v>
      </x:c>
      <x:c r="N48" s="58" t="str">
        <x:v>جديد</x:v>
      </x:c>
      <x:c r="O48" s="58" t="str"/>
      <x:c r="P48" s="58" t="str">
        <x:v>لم يتم التواصل</x:v>
      </x:c>
      <x:c r="Q48" s="58" t="str"/>
      <x:c r="R48" s="57" t="str"/>
      <x:c r="S48" s="57" t="str">
        <x:v>2026-08-10</x:v>
      </x:c>
    </x:row>
  </x:sheetData>
  <x:mergeCells>
    <x:mergeCell ref="A1:S2"/>
    <x:mergeCell ref="A3:S3"/>
  </x:mergeCells>
  <x:conditionalFormatting sqref="H6:H48">
    <x:cfRule type="cellIs" dxfId="0" priority="1" operator="equal">
      <x:formula>1</x:formula>
    </x:cfRule>
    <x:cfRule type="cellIs" dxfId="1" priority="2" operator="equal">
      <x:formula>2</x:formula>
    </x:cfRule>
  </x:conditionalFormatting>
  <x:conditionalFormatting sqref="N6:N48">
    <x:cfRule type="containsText" dxfId="2" priority="3" operator="containsText" text="تحول إلى عميل"/>
    <x:cfRule type="containsText" dxfId="3" priority="4" operator="containsText" text="غير مهتم"/>
  </x:conditionalFormatting>
  <x:dataValidations count="3">
    <x:dataValidation type="list" sqref="N6:N205">
      <x:formula1>"جديد,جارٍ التواصل,تم التواصل,مهتم,غير مهتم,مؤجل,تحول إلى عميل"</x:formula1>
    </x:dataValidation>
    <x:dataValidation type="list" sqref="O6:O205">
      <x:formula1>"MOY,AK,AZOZ,EMAD"</x:formula1>
    </x:dataValidation>
    <x:dataValidation type="list" sqref="P6:P205">
      <x:formula1>"لم يتم التواصل,لا يرد,طلب تفاصيل,موعد متابعة,مهتم,غير مهتم,تم الاتفاق"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f4dfc743d1414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21.25" hidden="0" customWidth="1"/>
    <x:col min="3" max="3" width="21.25" hidden="0" customWidth="1"/>
    <x:col min="4" max="4" width="21.25" hidden="0" customWidth="1"/>
    <x:col min="5" max="5" width="21.25" hidden="0" customWidth="1"/>
    <x:col min="6" max="6" width="21.25" hidden="0" customWidth="1"/>
  </x:cols>
  <x:sheetData>
    <x:row r="1">
      <x:c r="A1" s="123" t="str">
        <x:v>دليل تشغيل قائمة فرص مكة</x:v>
      </x:c>
      <x:c r="B1" s="123"/>
      <x:c r="C1" s="123"/>
      <x:c r="D1" s="123"/>
      <x:c r="E1" s="123"/>
      <x:c r="F1" s="123"/>
    </x:row>
    <x:row r="2">
      <x:c r="A2" s="123"/>
      <x:c r="B2" s="123"/>
      <x:c r="C2" s="123"/>
      <x:c r="D2" s="123"/>
      <x:c r="E2" s="123"/>
      <x:c r="F2" s="123"/>
    </x:row>
    <x:row r="4">
      <x:c r="A4" s="86" t="str">
        <x:v>الترتيب</x:v>
      </x:c>
      <x:c r="B4" s="86" t="str">
        <x:v>من نستهدف</x:v>
      </x:c>
      <x:c r="C4" s="86" t="str">
        <x:v>لماذا</x:v>
      </x:c>
      <x:c r="D4" s="86" t="str">
        <x:v>الخطوة الأولى</x:v>
      </x:c>
      <x:c r="E4" s="86" t="str">
        <x:v>الحالة المطلوبة</x:v>
      </x:c>
      <x:c r="F4" s="86" t="str">
        <x:v>ملاحظة</x:v>
      </x:c>
    </x:row>
    <x:row r="5" ht="41.25" customHeight="1">
      <x:c r="A5" s="127" t="str">
        <x:v>أولوية 1</x:v>
      </x:c>
      <x:c r="B5" s="127" t="str">
        <x:v>الشركات والمؤسسات</x:v>
      </x:c>
      <x:c r="C5" s="127" t="str">
        <x:v>قيمة عقد أعلى واستمرارية</x:v>
      </x:c>
      <x:c r="D5" s="127" t="str">
        <x:v>تدقيق حضور + رسالة شخصية</x:v>
      </x:c>
      <x:c r="E5" s="127" t="str">
        <x:v>جارٍ التواصل</x:v>
      </x:c>
      <x:c r="F5" s="127" t="str">
        <x:v>لا تبدأ اتصالاً قبل تعيين المسؤول</x:v>
      </x:c>
    </x:row>
    <x:row r="6" ht="41.25" customHeight="1">
      <x:c r="A6" s="128" t="str">
        <x:v>أولوية 2</x:v>
      </x:c>
      <x:c r="B6" s="128" t="str">
        <x:v>المطاعم والضيافة</x:v>
      </x:c>
      <x:c r="C6" s="128" t="str">
        <x:v>احتياج مستمر للمحتوى والتصوير</x:v>
      </x:c>
      <x:c r="D6" s="128" t="str">
        <x:v>ملاحظة بصرية + مثال حملة</x:v>
      </x:c>
      <x:c r="E6" s="128" t="str">
        <x:v>جارٍ التواصل</x:v>
      </x:c>
      <x:c r="F6" s="128" t="str">
        <x:v>اعرض نتيجة واضحة لا خدمة عامة</x:v>
      </x:c>
    </x:row>
    <x:row r="7" ht="41.25" customHeight="1">
      <x:c r="A7" s="129" t="str">
        <x:v>أولوية 3</x:v>
      </x:c>
      <x:c r="B7" s="129" t="str">
        <x:v>أنشطة أخرى لاحقاً</x:v>
      </x:c>
      <x:c r="C7" s="129" t="str">
        <x:v>توسيع قاعدة الفرص</x:v>
      </x:c>
      <x:c r="D7" s="129" t="str">
        <x:v>دفعة الأحياء التالية</x:v>
      </x:c>
      <x:c r="E7" s="129" t="str">
        <x:v>جديد</x:v>
      </x:c>
      <x:c r="F7" s="129" t="str">
        <x:v>تضاف في دفعة مستقلة</x:v>
      </x:c>
    </x:row>
    <x:row r="10">
      <x:c r="A10" s="96" t="str">
        <x:v>حالة التواصل</x:v>
      </x:c>
      <x:c r="B10" s="96" t="str">
        <x:v>متى تستخدم</x:v>
      </x:c>
      <x:c r="C10" s="96" t="str">
        <x:v>الإجراء التالي</x:v>
      </x:c>
    </x:row>
    <x:row r="11" ht="28.5" customHeight="1">
      <x:c r="A11" s="124" t="str">
        <x:v>جديد</x:v>
      </x:c>
      <x:c r="B11" s="124" t="str">
        <x:v>لم يلمسه أحد</x:v>
      </x:c>
      <x:c r="C11" s="124" t="str">
        <x:v>تعيين مسؤول</x:v>
      </x:c>
    </x:row>
    <x:row r="12" ht="28.5" customHeight="1">
      <x:c r="A12" s="125" t="str">
        <x:v>جارٍ التواصل</x:v>
      </x:c>
      <x:c r="B12" s="125" t="str">
        <x:v>بدأت محاولة الاتصال</x:v>
      </x:c>
      <x:c r="C12" s="125" t="str">
        <x:v>تسجيل آخر محاولة</x:v>
      </x:c>
    </x:row>
    <x:row r="13" ht="28.5" customHeight="1">
      <x:c r="A13" s="125" t="str">
        <x:v>تم التواصل</x:v>
      </x:c>
      <x:c r="B13" s="125" t="str">
        <x:v>وصلنا لصاحب القرار</x:v>
      </x:c>
      <x:c r="C13" s="125" t="str">
        <x:v>تحديد الاهتمام</x:v>
      </x:c>
    </x:row>
    <x:row r="14" ht="28.5" customHeight="1">
      <x:c r="A14" s="125" t="str">
        <x:v>مهتم</x:v>
      </x:c>
      <x:c r="B14" s="125" t="str">
        <x:v>يريد تفاصيل أو اجتماع</x:v>
      </x:c>
      <x:c r="C14" s="125" t="str">
        <x:v>تحويل إلى مهمة</x:v>
      </x:c>
    </x:row>
    <x:row r="15" ht="28.5" customHeight="1">
      <x:c r="A15" s="125" t="str">
        <x:v>غير مهتم</x:v>
      </x:c>
      <x:c r="B15" s="125" t="str">
        <x:v>رفض واضح</x:v>
      </x:c>
      <x:c r="C15" s="125" t="str">
        <x:v>إغلاق مع سبب</x:v>
      </x:c>
    </x:row>
    <x:row r="16" ht="28.5" customHeight="1">
      <x:c r="A16" s="125" t="str">
        <x:v>مؤجل</x:v>
      </x:c>
      <x:c r="B16" s="125" t="str">
        <x:v>طلب العودة لاحقاً</x:v>
      </x:c>
      <x:c r="C16" s="125" t="str">
        <x:v>تاريخ متابعة</x:v>
      </x:c>
    </x:row>
    <x:row r="17" ht="28.5" customHeight="1">
      <x:c r="A17" s="126" t="str">
        <x:v>تحول إلى عميل</x:v>
      </x:c>
      <x:c r="B17" s="126" t="str">
        <x:v>تم الاتفاق</x:v>
      </x:c>
      <x:c r="C17" s="126" t="str">
        <x:v>إضافته لمسار العملاء</x:v>
      </x:c>
    </x:row>
  </x:sheetData>
  <x:mergeCells>
    <x:mergeCell ref="A1:F2"/>
  </x:mergeCells>
  <x:pageMargins left="0.7" right="0.7" top="0.75" bottom="0.75" header="0.3" footer="0.3"/>
</x:worksheet>
</file>